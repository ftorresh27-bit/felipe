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"/>
  </bookViews>
  <sheets>
    <sheet name="Data Cruda" sheetId="1" r:id="rId1"/>
    <sheet name="Calculos" sheetId="2" r:id="rId2"/>
    <sheet name="Dashboard" sheetId="3" r:id="rId3"/>
  </sheets>
  <calcPr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$&quot;#,##0"/>
    <numFmt numFmtId="166" formatCode="0.0%"/>
    <numFmt numFmtId="167" formatCode="#,##0"/>
    <numFmt numFmtId="168" formatCode="0.0"/>
  </numFmts>
  <fonts count="15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20"/>
      <color rgb="FF00E676"/>
      <name val="Calibri"/>
    </font>
    <font>
      <b/>
      <sz val="16"/>
      <color rgb="FFFFFFFF"/>
      <name val="Calibri"/>
    </font>
    <font>
      <b/>
      <sz val="26"/>
      <color rgb="FFFFFFFF"/>
      <name val="Calibri"/>
    </font>
    <font>
      <b/>
      <sz val="11"/>
      <color rgb="FFFFFFFF"/>
      <name val="Calibri"/>
    </font>
    <font>
      <b/>
      <sz val="12"/>
      <color rgb="FF00E676"/>
      <name val="Calibri"/>
    </font>
    <font>
      <b/>
      <sz val="13"/>
      <color rgb="FF00E676"/>
      <name val="Calibri"/>
    </font>
    <font>
      <b/>
      <sz val="12"/>
      <color rgb="FF0B1F3A"/>
      <name val="Calibri"/>
    </font>
    <font>
      <b/>
      <sz val="30"/>
      <color rgb="FF00E676"/>
      <name val="Calibri"/>
    </font>
    <font>
      <sz val="10"/>
      <color rgb="FFB0BEC5"/>
      <name val="Calibri"/>
    </font>
    <font>
      <b/>
      <sz val="30"/>
      <color rgb="FF18FFFF"/>
      <name val="Calibri"/>
    </font>
    <font>
      <b/>
      <sz val="30"/>
      <color rgb="FFFFC107"/>
      <name val="Calibri"/>
    </font>
    <font>
      <b/>
      <sz val="30"/>
      <color rgb="FFFF525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2305A"/>
      </patternFill>
    </fill>
    <fill>
      <patternFill patternType="solid">
        <fgColor rgb="FF1B5E20"/>
      </patternFill>
    </fill>
    <fill>
      <patternFill patternType="solid">
        <fgColor rgb="FFFFC107"/>
      </patternFill>
    </fill>
    <fill>
      <patternFill patternType="solid">
        <fgColor rgb="FF173E6B"/>
      </patternFill>
    </fill>
    <fill>
      <patternFill patternType="solid">
        <fgColor rgb="FF0E2747"/>
      </patternFill>
    </fill>
    <fill>
      <gradientFill degree="35">
        <stop position="0">
          <color rgb="FF00C853"/>
        </stop>
        <stop position="1">
          <color rgb="FF0B1F3A"/>
        </stop>
      </gradientFill>
    </fill>
    <fill>
      <patternFill patternType="solid">
        <fgColor rgb="FF14502B"/>
      </patternFill>
    </fill>
    <fill>
      <patternFill patternType="solid">
        <fgColor rgb="FF0E4C5A"/>
      </patternFill>
    </fill>
    <fill>
      <patternFill patternType="solid">
        <fgColor rgb="FF5A3E0E"/>
      </patternFill>
    </fill>
    <fill>
      <patternFill patternType="solid">
        <fgColor rgb="FF5A1414"/>
      </patternFill>
    </fill>
    <fill>
      <patternFill patternType="solid">
        <fgColor rgb="FF00C853"/>
      </patternFill>
    </fill>
  </fills>
  <borders count="3">
    <border>
      <left/>
      <right/>
      <top/>
      <bottom/>
      <diagonal/>
    </border>
    <border>
      <left style="thin">
        <color rgb="FF2E5C8A"/>
      </left>
      <right style="thin">
        <color rgb="FF2E5C8A"/>
      </right>
      <top style="thin">
        <color rgb="FF2E5C8A"/>
      </top>
      <bottom style="thin">
        <color rgb="FF2E5C8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7">
    <xf numFmtId="0" fontId="0" fillId="0" borderId="0" xfId="0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/>
    </xf>
    <xf numFmtId="0" fontId="2" fillId="2" borderId="0" xfId="0" applyFont="1" applyFill="1"/>
    <xf numFmtId="0" fontId="5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0" fillId="0" borderId="0" xfId="0"/>
    <xf numFmtId="168" fontId="0" fillId="0" borderId="2" xfId="0" applyNumberFormat="1" applyBorder="1" applyAlignment="1">
      <alignment horizontal="center"/>
    </xf>
    <xf numFmtId="168" fontId="2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5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165" fontId="10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6" fontId="12" fillId="10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68" fontId="13" fillId="11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8" fontId="14" fillId="12" borderId="0" xfId="0" applyNumberFormat="1" applyFont="1" applyFill="1" applyAlignment="1">
      <alignment horizontal="center" vertical="center"/>
    </xf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>
                <a:solidFill>
                  <a:srgbClr val="FFFFFF"/>
                </a:solidFill>
              </a:defRPr>
            </a:pPr>
            <a:r>
              <a:rPr lang="es" sz="1100" b="1">
                <a:solidFill>
                  <a:srgbClr val="FFFFFF"/>
                </a:solidFill>
              </a:rPr>
              <a:t>Margen Ruta USD (Lag Measure)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Margen USD</c:v>
          </c:tx>
          <c:spPr>
            <a:ln w="28575">
              <a:solidFill>
                <a:srgbClr val="00E676"/>
              </a:solidFill>
            </a:ln>
          </c:spPr>
          <c:marker>
            <c:symbol val="none"/>
          </c:marker>
          <c:cat>
            <c:numRef>
              <c:f>'Data Cruda'!$A$2:$A$61</c:f>
              <c:numCache>
                <c:formatCode>dd/mm</c:formatCode>
                <c:ptCount val="6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</c:numCache>
            </c:numRef>
          </c:cat>
          <c:val>
            <c:numRef>
              <c:f>'Data Cruda'!$F$2:$F$61</c:f>
              <c:numCache>
                <c:formatCode>"$"#,##0</c:formatCode>
                <c:ptCount val="60"/>
                <c:pt idx="0">
                  <c:v>27668</c:v>
                </c:pt>
                <c:pt idx="1">
                  <c:v>29077</c:v>
                </c:pt>
                <c:pt idx="2">
                  <c:v>30486</c:v>
                </c:pt>
                <c:pt idx="3">
                  <c:v>29007</c:v>
                </c:pt>
                <c:pt idx="4">
                  <c:v>30416</c:v>
                </c:pt>
                <c:pt idx="5">
                  <c:v>27668</c:v>
                </c:pt>
                <c:pt idx="6">
                  <c:v>29077</c:v>
                </c:pt>
                <c:pt idx="7">
                  <c:v>29042</c:v>
                </c:pt>
                <c:pt idx="8">
                  <c:v>30451</c:v>
                </c:pt>
                <c:pt idx="9">
                  <c:v>31860</c:v>
                </c:pt>
                <c:pt idx="10">
                  <c:v>30556</c:v>
                </c:pt>
                <c:pt idx="11">
                  <c:v>31965</c:v>
                </c:pt>
                <c:pt idx="12">
                  <c:v>29042</c:v>
                </c:pt>
                <c:pt idx="13">
                  <c:v>30451</c:v>
                </c:pt>
                <c:pt idx="14">
                  <c:v>7312</c:v>
                </c:pt>
                <c:pt idx="15">
                  <c:v>8896</c:v>
                </c:pt>
                <c:pt idx="16">
                  <c:v>10305</c:v>
                </c:pt>
                <c:pt idx="17">
                  <c:v>8826</c:v>
                </c:pt>
                <c:pt idx="18">
                  <c:v>10235</c:v>
                </c:pt>
                <c:pt idx="19">
                  <c:v>7312</c:v>
                </c:pt>
                <c:pt idx="20">
                  <c:v>8896</c:v>
                </c:pt>
                <c:pt idx="21">
                  <c:v>13193</c:v>
                </c:pt>
                <c:pt idx="22">
                  <c:v>14602</c:v>
                </c:pt>
                <c:pt idx="23">
                  <c:v>16011</c:v>
                </c:pt>
                <c:pt idx="24">
                  <c:v>14532</c:v>
                </c:pt>
                <c:pt idx="25">
                  <c:v>16116</c:v>
                </c:pt>
                <c:pt idx="26">
                  <c:v>13193</c:v>
                </c:pt>
                <c:pt idx="27">
                  <c:v>14602</c:v>
                </c:pt>
                <c:pt idx="28">
                  <c:v>14567</c:v>
                </c:pt>
                <c:pt idx="29">
                  <c:v>15976</c:v>
                </c:pt>
                <c:pt idx="30">
                  <c:v>17560</c:v>
                </c:pt>
                <c:pt idx="31">
                  <c:v>16081</c:v>
                </c:pt>
                <c:pt idx="32">
                  <c:v>17490</c:v>
                </c:pt>
                <c:pt idx="33">
                  <c:v>14567</c:v>
                </c:pt>
                <c:pt idx="34">
                  <c:v>15976</c:v>
                </c:pt>
                <c:pt idx="35">
                  <c:v>17560</c:v>
                </c:pt>
                <c:pt idx="36">
                  <c:v>18969</c:v>
                </c:pt>
                <c:pt idx="37">
                  <c:v>20378</c:v>
                </c:pt>
                <c:pt idx="38">
                  <c:v>18899</c:v>
                </c:pt>
                <c:pt idx="39">
                  <c:v>20308</c:v>
                </c:pt>
                <c:pt idx="40">
                  <c:v>17560</c:v>
                </c:pt>
                <c:pt idx="41">
                  <c:v>18969</c:v>
                </c:pt>
                <c:pt idx="42">
                  <c:v>18934</c:v>
                </c:pt>
                <c:pt idx="43">
                  <c:v>20343</c:v>
                </c:pt>
                <c:pt idx="44">
                  <c:v>21752</c:v>
                </c:pt>
                <c:pt idx="45">
                  <c:v>20448</c:v>
                </c:pt>
                <c:pt idx="46">
                  <c:v>21857</c:v>
                </c:pt>
                <c:pt idx="47">
                  <c:v>18934</c:v>
                </c:pt>
                <c:pt idx="48">
                  <c:v>20343</c:v>
                </c:pt>
                <c:pt idx="49">
                  <c:v>20308</c:v>
                </c:pt>
                <c:pt idx="50">
                  <c:v>21892</c:v>
                </c:pt>
                <c:pt idx="51">
                  <c:v>23301</c:v>
                </c:pt>
                <c:pt idx="52">
                  <c:v>21822</c:v>
                </c:pt>
                <c:pt idx="53">
                  <c:v>23231</c:v>
                </c:pt>
                <c:pt idx="54">
                  <c:v>20308</c:v>
                </c:pt>
                <c:pt idx="55">
                  <c:v>21892</c:v>
                </c:pt>
                <c:pt idx="56">
                  <c:v>21857</c:v>
                </c:pt>
                <c:pt idx="57">
                  <c:v>23266</c:v>
                </c:pt>
                <c:pt idx="58">
                  <c:v>24675</c:v>
                </c:pt>
                <c:pt idx="59">
                  <c:v>23196</c:v>
                </c:pt>
              </c:numCache>
            </c:numRef>
          </c:val>
          <c:smooth val="0"/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numFmt formatCode="dd/mm" sourceLinked="0"/>
        <c:txPr>
          <a:bodyPr/>
          <a:lstStyle/>
          <a:p>
            <a:pPr>
              <a:defRPr sz="800">
                <a:solidFill>
                  <a:srgbClr val="B0BEC5"/>
                </a:solidFill>
              </a:defRPr>
            </a:pPr>
            <a:endParaRPr lang="es"/>
          </a:p>
        </c:txPr>
        <c:crossAx val="222222222"/>
      </c:catAx>
      <c:valAx>
        <c:axId val="222222222"/>
        <c:scaling>
          <c:orientation val="minMax"/>
        </c:scaling>
        <c:delete val="0"/>
        <c:axPos val="l"/>
        <c:majorGridlines>
          <c:spPr>
            <a:ln>
              <a:solidFill>
                <a:srgbClr val="1F3B63"/>
              </a:solidFill>
            </a:ln>
          </c:spPr>
        </c:majorGridlines>
        <c:numFmt formatCode="&quot;$&quot;#,##0" sourceLinked="0"/>
        <c:txPr>
          <a:bodyPr/>
          <a:lstStyle/>
          <a:p>
            <a:pPr>
              <a:defRPr sz="800">
                <a:solidFill>
                  <a:srgbClr val="B0BEC5"/>
                </a:solidFill>
              </a:defRPr>
            </a:pPr>
            <a:endParaRPr lang="es"/>
          </a:p>
        </c:txPr>
        <c:crossAx val="111111111"/>
      </c:valAx>
      <c:spPr>
        <a:noFill/>
        <a:ln>
          <a:noFill/>
        </a:ln>
      </c:spPr>
    </c:plotArea>
    <c:plotVisOnly val="1"/>
    <c:dispBlanksAs val="gap"/>
  </c:chart>
  <c:spPr>
    <a:solidFill>
      <a:srgbClr val="12305A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pPr>
              <a:defRPr sz="1100" b="1">
                <a:solidFill>
                  <a:srgbClr val="FFFFFF"/>
                </a:solidFill>
              </a:defRPr>
            </a:pPr>
            <a:r>
              <a:rPr lang="es" sz="1100" b="1">
                <a:solidFill>
                  <a:srgbClr val="FFFFFF"/>
                </a:solidFill>
              </a:rPr>
              <a:t>APU min en Tierra (Lead Measure)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E676"/>
              </a:solidFill>
              <a:ln>
                <a:solidFill>
                  <a:srgbClr val="12305A"/>
                </a:solidFill>
              </a:ln>
            </c:spPr>
          </c:dPt>
          <c:dPt>
            <c:idx val="1"/>
            <c:bubble3D val="0"/>
            <c:spPr>
              <a:solidFill>
                <a:srgbClr val="55606E"/>
              </a:solidFill>
              <a:ln>
                <a:solidFill>
                  <a:srgbClr val="12305A"/>
                </a:solidFill>
              </a:ln>
            </c:spPr>
          </c:dPt>
          <c:cat>
            <c:strRef>
              <c:f>'Calculos'!$A$14:$A$15</c:f>
              <c:strCache>
                <c:ptCount val="2"/>
                <c:pt idx="0">
                  <c:v>APU Promedio</c:v>
                </c:pt>
                <c:pt idx="1">
                  <c:v>Holgura (Meta 60)</c:v>
                </c:pt>
              </c:strCache>
            </c:strRef>
          </c:cat>
          <c:val>
            <c:numRef>
              <c:f>'Calculos'!$B$14:$B$15</c:f>
              <c:numCache>
                <c:formatCode>0.0</c:formatCode>
                <c:ptCount val="2"/>
                <c:pt idx="0">
                  <c:v>44.5</c:v>
                </c:pt>
                <c:pt idx="1">
                  <c:v>15.5</c:v>
                </c:pt>
              </c:numCache>
            </c:numRef>
          </c:val>
        </c:ser>
        <c:firstSliceAng val="270"/>
        <c:holeSize val="62"/>
      </c:doughnutChart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FFFFFF"/>
              </a:solidFill>
            </a:defRPr>
          </a:pPr>
          <a:endParaRPr lang="es"/>
        </a:p>
      </c:txPr>
    </c:legend>
    <c:plotVisOnly val="1"/>
  </c:chart>
  <c:spPr>
    <a:solidFill>
      <a:srgbClr val="12305A"/>
    </a:solidFill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GraficoMarge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GraficoGau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3" customWidth="1"/>
    <col min="2" max="2" width="9" customWidth="1"/>
    <col min="3" max="3" width="11" customWidth="1"/>
    <col min="4" max="4" width="16" customWidth="1"/>
    <col min="5" max="5" width="22" customWidth="1"/>
    <col min="6" max="6" width="16" customWidth="1"/>
    <col min="7" max="7" width="18" customWidth="1"/>
    <col min="8" max="8" width="16" customWidth="1"/>
  </cols>
  <sheetData>
    <row r="1" ht="30" customHeight="1">
      <c r="A1" s="4" t="inlineStr">
        <is>
          <t xml:space="preserve">Fecha</t>
        </is>
      </c>
      <c r="B1" s="4" t="inlineStr">
        <is>
          <t xml:space="preserve">Semana</t>
        </is>
      </c>
      <c r="C1" s="4" t="inlineStr">
        <is>
          <t xml:space="preserve">N Vuelo</t>
        </is>
      </c>
      <c r="D1" s="4" t="inlineStr">
        <is>
          <t xml:space="preserve">Litros SAF</t>
        </is>
      </c>
      <c r="E1" s="4" t="inlineStr">
        <is>
          <t xml:space="preserve">Asientos Eco-Corporate</t>
        </is>
      </c>
      <c r="F1" s="4" t="inlineStr">
        <is>
          <t xml:space="preserve">Margen Ruta USD</t>
        </is>
      </c>
      <c r="G1" s="4" t="inlineStr">
        <is>
          <t xml:space="preserve">Minutos APU en Tierra</t>
        </is>
      </c>
      <c r="H1" s="4" t="inlineStr">
        <is>
          <t xml:space="preserve">Minutos de retraso</t>
        </is>
      </c>
    </row>
    <row r="2">
      <c r="A2" s="1">
        <v>46023</v>
      </c>
      <c r="B2" s="2">
        <v>1</v>
      </c>
      <c r="C2" s="2" t="inlineStr">
        <is>
          <t xml:space="preserve">LA532</t>
        </is>
      </c>
      <c r="D2" s="5">
        <v>4880</v>
      </c>
      <c r="E2" s="2">
        <v>17</v>
      </c>
      <c r="F2" s="3">
        <v>27668</v>
      </c>
      <c r="G2" s="20">
        <v>53.5</v>
      </c>
      <c r="H2" s="2">
        <v>5</v>
      </c>
    </row>
    <row r="3">
      <c r="A3" s="1">
        <v>46024</v>
      </c>
      <c r="B3" s="2">
        <v>1</v>
      </c>
      <c r="C3" s="2" t="inlineStr">
        <is>
          <t xml:space="preserve">LA533</t>
        </is>
      </c>
      <c r="D3" s="5">
        <v>4945</v>
      </c>
      <c r="E3" s="2">
        <v>18</v>
      </c>
      <c r="F3" s="3">
        <v>29077</v>
      </c>
      <c r="G3" s="20">
        <v>55.0</v>
      </c>
      <c r="H3" s="2">
        <v>8</v>
      </c>
    </row>
    <row r="4">
      <c r="A4" s="1">
        <v>46025</v>
      </c>
      <c r="B4" s="2">
        <v>1</v>
      </c>
      <c r="C4" s="2" t="inlineStr">
        <is>
          <t xml:space="preserve">LA532</t>
        </is>
      </c>
      <c r="D4" s="5">
        <v>5010</v>
      </c>
      <c r="E4" s="2">
        <v>19</v>
      </c>
      <c r="F4" s="3">
        <v>30486</v>
      </c>
      <c r="G4" s="20">
        <v>56.5</v>
      </c>
      <c r="H4" s="2">
        <v>11</v>
      </c>
    </row>
    <row r="5">
      <c r="A5" s="1">
        <v>46026</v>
      </c>
      <c r="B5" s="2">
        <v>1</v>
      </c>
      <c r="C5" s="2" t="inlineStr">
        <is>
          <t xml:space="preserve">LA533</t>
        </is>
      </c>
      <c r="D5" s="5">
        <v>4995</v>
      </c>
      <c r="E5" s="2">
        <v>18</v>
      </c>
      <c r="F5" s="3">
        <v>29007</v>
      </c>
      <c r="G5" s="20">
        <v>58.0</v>
      </c>
      <c r="H5" s="2">
        <v>14</v>
      </c>
    </row>
    <row r="6">
      <c r="A6" s="1">
        <v>46027</v>
      </c>
      <c r="B6" s="2">
        <v>1</v>
      </c>
      <c r="C6" s="2" t="inlineStr">
        <is>
          <t xml:space="preserve">LA532</t>
        </is>
      </c>
      <c r="D6" s="5">
        <v>5060</v>
      </c>
      <c r="E6" s="2">
        <v>19</v>
      </c>
      <c r="F6" s="3">
        <v>30416</v>
      </c>
      <c r="G6" s="20">
        <v>53.5</v>
      </c>
      <c r="H6" s="2">
        <v>17</v>
      </c>
    </row>
    <row r="7">
      <c r="A7" s="1">
        <v>46028</v>
      </c>
      <c r="B7" s="2">
        <v>1</v>
      </c>
      <c r="C7" s="2" t="inlineStr">
        <is>
          <t xml:space="preserve">LA533</t>
        </is>
      </c>
      <c r="D7" s="5">
        <v>4880</v>
      </c>
      <c r="E7" s="2">
        <v>17</v>
      </c>
      <c r="F7" s="3">
        <v>27668</v>
      </c>
      <c r="G7" s="20">
        <v>55.0</v>
      </c>
      <c r="H7" s="2">
        <v>20</v>
      </c>
    </row>
    <row r="8">
      <c r="A8" s="1">
        <v>46029</v>
      </c>
      <c r="B8" s="2">
        <v>1</v>
      </c>
      <c r="C8" s="2" t="inlineStr">
        <is>
          <t xml:space="preserve">LA532</t>
        </is>
      </c>
      <c r="D8" s="5">
        <v>4945</v>
      </c>
      <c r="E8" s="2">
        <v>18</v>
      </c>
      <c r="F8" s="3">
        <v>29077</v>
      </c>
      <c r="G8" s="20">
        <v>56.5</v>
      </c>
      <c r="H8" s="2">
        <v>5</v>
      </c>
    </row>
    <row r="9">
      <c r="A9" s="1">
        <v>46030</v>
      </c>
      <c r="B9" s="2">
        <v>2</v>
      </c>
      <c r="C9" s="2" t="inlineStr">
        <is>
          <t xml:space="preserve">LA533</t>
        </is>
      </c>
      <c r="D9" s="5">
        <v>4970</v>
      </c>
      <c r="E9" s="2">
        <v>18</v>
      </c>
      <c r="F9" s="3">
        <v>29042</v>
      </c>
      <c r="G9" s="20">
        <v>55.0</v>
      </c>
      <c r="H9" s="2">
        <v>8</v>
      </c>
    </row>
    <row r="10">
      <c r="A10" s="1">
        <v>46031</v>
      </c>
      <c r="B10" s="2">
        <v>2</v>
      </c>
      <c r="C10" s="2" t="inlineStr">
        <is>
          <t xml:space="preserve">LA532</t>
        </is>
      </c>
      <c r="D10" s="5">
        <v>5035</v>
      </c>
      <c r="E10" s="2">
        <v>19</v>
      </c>
      <c r="F10" s="3">
        <v>30451</v>
      </c>
      <c r="G10" s="20">
        <v>50.5</v>
      </c>
      <c r="H10" s="2">
        <v>11</v>
      </c>
    </row>
    <row r="11">
      <c r="A11" s="1">
        <v>46032</v>
      </c>
      <c r="B11" s="2">
        <v>2</v>
      </c>
      <c r="C11" s="2" t="inlineStr">
        <is>
          <t xml:space="preserve">LA533</t>
        </is>
      </c>
      <c r="D11" s="5">
        <v>5100</v>
      </c>
      <c r="E11" s="2">
        <v>20</v>
      </c>
      <c r="F11" s="3">
        <v>31860</v>
      </c>
      <c r="G11" s="20">
        <v>52.0</v>
      </c>
      <c r="H11" s="2">
        <v>14</v>
      </c>
    </row>
    <row r="12">
      <c r="A12" s="1">
        <v>46033</v>
      </c>
      <c r="B12" s="2">
        <v>2</v>
      </c>
      <c r="C12" s="2" t="inlineStr">
        <is>
          <t xml:space="preserve">LA532</t>
        </is>
      </c>
      <c r="D12" s="5">
        <v>4960</v>
      </c>
      <c r="E12" s="2">
        <v>19</v>
      </c>
      <c r="F12" s="3">
        <v>30556</v>
      </c>
      <c r="G12" s="20">
        <v>53.5</v>
      </c>
      <c r="H12" s="2">
        <v>17</v>
      </c>
    </row>
    <row r="13">
      <c r="A13" s="1">
        <v>46034</v>
      </c>
      <c r="B13" s="2">
        <v>2</v>
      </c>
      <c r="C13" s="2" t="inlineStr">
        <is>
          <t xml:space="preserve">LA533</t>
        </is>
      </c>
      <c r="D13" s="5">
        <v>5025</v>
      </c>
      <c r="E13" s="2">
        <v>20</v>
      </c>
      <c r="F13" s="3">
        <v>31965</v>
      </c>
      <c r="G13" s="20">
        <v>55.0</v>
      </c>
      <c r="H13" s="2">
        <v>20</v>
      </c>
    </row>
    <row r="14">
      <c r="A14" s="1">
        <v>46035</v>
      </c>
      <c r="B14" s="2">
        <v>2</v>
      </c>
      <c r="C14" s="2" t="inlineStr">
        <is>
          <t xml:space="preserve">LA532</t>
        </is>
      </c>
      <c r="D14" s="5">
        <v>4970</v>
      </c>
      <c r="E14" s="2">
        <v>18</v>
      </c>
      <c r="F14" s="3">
        <v>29042</v>
      </c>
      <c r="G14" s="20">
        <v>50.5</v>
      </c>
      <c r="H14" s="2">
        <v>5</v>
      </c>
    </row>
    <row r="15">
      <c r="A15" s="1">
        <v>46036</v>
      </c>
      <c r="B15" s="2">
        <v>2</v>
      </c>
      <c r="C15" s="2" t="inlineStr">
        <is>
          <t xml:space="preserve">LA533</t>
        </is>
      </c>
      <c r="D15" s="5">
        <v>5035</v>
      </c>
      <c r="E15" s="2">
        <v>19</v>
      </c>
      <c r="F15" s="3">
        <v>30451</v>
      </c>
      <c r="G15" s="20">
        <v>52.0</v>
      </c>
      <c r="H15" s="2">
        <v>8</v>
      </c>
    </row>
    <row r="16">
      <c r="A16" s="1">
        <v>46037</v>
      </c>
      <c r="B16" s="2">
        <v>3</v>
      </c>
      <c r="C16" s="2" t="inlineStr">
        <is>
          <t xml:space="preserve">LA532</t>
        </is>
      </c>
      <c r="D16" s="5">
        <v>4420</v>
      </c>
      <c r="E16" s="2">
        <v>3</v>
      </c>
      <c r="F16" s="3">
        <v>7312</v>
      </c>
      <c r="G16" s="20">
        <v>51.5</v>
      </c>
      <c r="H16" s="2">
        <v>19</v>
      </c>
    </row>
    <row r="17">
      <c r="A17" s="1">
        <v>46038</v>
      </c>
      <c r="B17" s="2">
        <v>3</v>
      </c>
      <c r="C17" s="2" t="inlineStr">
        <is>
          <t xml:space="preserve">LA533</t>
        </is>
      </c>
      <c r="D17" s="5">
        <v>4360</v>
      </c>
      <c r="E17" s="2">
        <v>4</v>
      </c>
      <c r="F17" s="3">
        <v>8896</v>
      </c>
      <c r="G17" s="20">
        <v>53.0</v>
      </c>
      <c r="H17" s="2">
        <v>22</v>
      </c>
    </row>
    <row r="18">
      <c r="A18" s="1">
        <v>46039</v>
      </c>
      <c r="B18" s="2">
        <v>3</v>
      </c>
      <c r="C18" s="2" t="inlineStr">
        <is>
          <t xml:space="preserve">LA532</t>
        </is>
      </c>
      <c r="D18" s="5">
        <v>4425</v>
      </c>
      <c r="E18" s="2">
        <v>5</v>
      </c>
      <c r="F18" s="3">
        <v>10305</v>
      </c>
      <c r="G18" s="20">
        <v>48.5</v>
      </c>
      <c r="H18" s="2">
        <v>25</v>
      </c>
    </row>
    <row r="19">
      <c r="A19" s="1">
        <v>46040</v>
      </c>
      <c r="B19" s="2">
        <v>3</v>
      </c>
      <c r="C19" s="2" t="inlineStr">
        <is>
          <t xml:space="preserve">LA533</t>
        </is>
      </c>
      <c r="D19" s="5">
        <v>4410</v>
      </c>
      <c r="E19" s="2">
        <v>4</v>
      </c>
      <c r="F19" s="3">
        <v>8826</v>
      </c>
      <c r="G19" s="20">
        <v>50.0</v>
      </c>
      <c r="H19" s="2">
        <v>28</v>
      </c>
    </row>
    <row r="20">
      <c r="A20" s="1">
        <v>46041</v>
      </c>
      <c r="B20" s="2">
        <v>3</v>
      </c>
      <c r="C20" s="2" t="inlineStr">
        <is>
          <t xml:space="preserve">LA532</t>
        </is>
      </c>
      <c r="D20" s="5">
        <v>4475</v>
      </c>
      <c r="E20" s="2">
        <v>5</v>
      </c>
      <c r="F20" s="3">
        <v>10235</v>
      </c>
      <c r="G20" s="20">
        <v>51.5</v>
      </c>
      <c r="H20" s="2">
        <v>13</v>
      </c>
    </row>
    <row r="21">
      <c r="A21" s="1">
        <v>46042</v>
      </c>
      <c r="B21" s="2">
        <v>3</v>
      </c>
      <c r="C21" s="2" t="inlineStr">
        <is>
          <t xml:space="preserve">LA533</t>
        </is>
      </c>
      <c r="D21" s="5">
        <v>4420</v>
      </c>
      <c r="E21" s="2">
        <v>3</v>
      </c>
      <c r="F21" s="3">
        <v>7312</v>
      </c>
      <c r="G21" s="20">
        <v>53.0</v>
      </c>
      <c r="H21" s="2">
        <v>16</v>
      </c>
    </row>
    <row r="22">
      <c r="A22" s="1">
        <v>46043</v>
      </c>
      <c r="B22" s="2">
        <v>3</v>
      </c>
      <c r="C22" s="2" t="inlineStr">
        <is>
          <t xml:space="preserve">LA532</t>
        </is>
      </c>
      <c r="D22" s="5">
        <v>4360</v>
      </c>
      <c r="E22" s="2">
        <v>4</v>
      </c>
      <c r="F22" s="3">
        <v>8896</v>
      </c>
      <c r="G22" s="20">
        <v>48.5</v>
      </c>
      <c r="H22" s="2">
        <v>19</v>
      </c>
    </row>
    <row r="23">
      <c r="A23" s="1">
        <v>46044</v>
      </c>
      <c r="B23" s="2">
        <v>4</v>
      </c>
      <c r="C23" s="2" t="inlineStr">
        <is>
          <t xml:space="preserve">LA533</t>
        </is>
      </c>
      <c r="D23" s="5">
        <v>4505</v>
      </c>
      <c r="E23" s="2">
        <v>7</v>
      </c>
      <c r="F23" s="3">
        <v>13193</v>
      </c>
      <c r="G23" s="20">
        <v>46.0</v>
      </c>
      <c r="H23" s="2">
        <v>14</v>
      </c>
    </row>
    <row r="24">
      <c r="A24" s="1">
        <v>46045</v>
      </c>
      <c r="B24" s="2">
        <v>4</v>
      </c>
      <c r="C24" s="2" t="inlineStr">
        <is>
          <t xml:space="preserve">LA532</t>
        </is>
      </c>
      <c r="D24" s="5">
        <v>4570</v>
      </c>
      <c r="E24" s="2">
        <v>8</v>
      </c>
      <c r="F24" s="3">
        <v>14602</v>
      </c>
      <c r="G24" s="20">
        <v>47.5</v>
      </c>
      <c r="H24" s="2">
        <v>17</v>
      </c>
    </row>
    <row r="25">
      <c r="A25" s="1">
        <v>46046</v>
      </c>
      <c r="B25" s="2">
        <v>4</v>
      </c>
      <c r="C25" s="2" t="inlineStr">
        <is>
          <t xml:space="preserve">LA533</t>
        </is>
      </c>
      <c r="D25" s="5">
        <v>4635</v>
      </c>
      <c r="E25" s="2">
        <v>9</v>
      </c>
      <c r="F25" s="3">
        <v>16011</v>
      </c>
      <c r="G25" s="20">
        <v>49.0</v>
      </c>
      <c r="H25" s="2">
        <v>20</v>
      </c>
    </row>
    <row r="26">
      <c r="A26" s="1">
        <v>46047</v>
      </c>
      <c r="B26" s="2">
        <v>4</v>
      </c>
      <c r="C26" s="2" t="inlineStr">
        <is>
          <t xml:space="preserve">LA532</t>
        </is>
      </c>
      <c r="D26" s="5">
        <v>4620</v>
      </c>
      <c r="E26" s="2">
        <v>8</v>
      </c>
      <c r="F26" s="3">
        <v>14532</v>
      </c>
      <c r="G26" s="20">
        <v>44.5</v>
      </c>
      <c r="H26" s="2">
        <v>5</v>
      </c>
    </row>
    <row r="27">
      <c r="A27" s="1">
        <v>46048</v>
      </c>
      <c r="B27" s="2">
        <v>4</v>
      </c>
      <c r="C27" s="2" t="inlineStr">
        <is>
          <t xml:space="preserve">LA533</t>
        </is>
      </c>
      <c r="D27" s="5">
        <v>4560</v>
      </c>
      <c r="E27" s="2">
        <v>9</v>
      </c>
      <c r="F27" s="3">
        <v>16116</v>
      </c>
      <c r="G27" s="20">
        <v>46.0</v>
      </c>
      <c r="H27" s="2">
        <v>8</v>
      </c>
    </row>
    <row r="28">
      <c r="A28" s="1">
        <v>46049</v>
      </c>
      <c r="B28" s="2">
        <v>4</v>
      </c>
      <c r="C28" s="2" t="inlineStr">
        <is>
          <t xml:space="preserve">LA532</t>
        </is>
      </c>
      <c r="D28" s="5">
        <v>4505</v>
      </c>
      <c r="E28" s="2">
        <v>7</v>
      </c>
      <c r="F28" s="3">
        <v>13193</v>
      </c>
      <c r="G28" s="20">
        <v>47.5</v>
      </c>
      <c r="H28" s="2">
        <v>11</v>
      </c>
    </row>
    <row r="29">
      <c r="A29" s="1">
        <v>46050</v>
      </c>
      <c r="B29" s="2">
        <v>4</v>
      </c>
      <c r="C29" s="2" t="inlineStr">
        <is>
          <t xml:space="preserve">LA533</t>
        </is>
      </c>
      <c r="D29" s="5">
        <v>4570</v>
      </c>
      <c r="E29" s="2">
        <v>8</v>
      </c>
      <c r="F29" s="3">
        <v>14602</v>
      </c>
      <c r="G29" s="20">
        <v>49.0</v>
      </c>
      <c r="H29" s="2">
        <v>14</v>
      </c>
    </row>
    <row r="30">
      <c r="A30" s="1">
        <v>46051</v>
      </c>
      <c r="B30" s="2">
        <v>5</v>
      </c>
      <c r="C30" s="2" t="inlineStr">
        <is>
          <t xml:space="preserve">LA532</t>
        </is>
      </c>
      <c r="D30" s="5">
        <v>4595</v>
      </c>
      <c r="E30" s="2">
        <v>8</v>
      </c>
      <c r="F30" s="3">
        <v>14567</v>
      </c>
      <c r="G30" s="20">
        <v>41.5</v>
      </c>
      <c r="H30" s="2">
        <v>17</v>
      </c>
    </row>
    <row r="31">
      <c r="A31" s="1">
        <v>46052</v>
      </c>
      <c r="B31" s="2">
        <v>5</v>
      </c>
      <c r="C31" s="2" t="inlineStr">
        <is>
          <t xml:space="preserve">LA533</t>
        </is>
      </c>
      <c r="D31" s="5">
        <v>4660</v>
      </c>
      <c r="E31" s="2">
        <v>9</v>
      </c>
      <c r="F31" s="3">
        <v>15976</v>
      </c>
      <c r="G31" s="20">
        <v>43.0</v>
      </c>
      <c r="H31" s="2">
        <v>20</v>
      </c>
    </row>
    <row r="32">
      <c r="A32" s="1">
        <v>46053</v>
      </c>
      <c r="B32" s="2">
        <v>5</v>
      </c>
      <c r="C32" s="2" t="inlineStr">
        <is>
          <t xml:space="preserve">LA532</t>
        </is>
      </c>
      <c r="D32" s="5">
        <v>4600</v>
      </c>
      <c r="E32" s="2">
        <v>10</v>
      </c>
      <c r="F32" s="3">
        <v>17560</v>
      </c>
      <c r="G32" s="20">
        <v>44.5</v>
      </c>
      <c r="H32" s="2">
        <v>5</v>
      </c>
    </row>
    <row r="33">
      <c r="A33" s="1">
        <v>46054</v>
      </c>
      <c r="B33" s="2">
        <v>5</v>
      </c>
      <c r="C33" s="2" t="inlineStr">
        <is>
          <t xml:space="preserve">LA533</t>
        </is>
      </c>
      <c r="D33" s="5">
        <v>4585</v>
      </c>
      <c r="E33" s="2">
        <v>9</v>
      </c>
      <c r="F33" s="3">
        <v>16081</v>
      </c>
      <c r="G33" s="20">
        <v>46.0</v>
      </c>
      <c r="H33" s="2">
        <v>8</v>
      </c>
    </row>
    <row r="34">
      <c r="A34" s="1">
        <v>46055</v>
      </c>
      <c r="B34" s="2">
        <v>5</v>
      </c>
      <c r="C34" s="2" t="inlineStr">
        <is>
          <t xml:space="preserve">LA532</t>
        </is>
      </c>
      <c r="D34" s="5">
        <v>4650</v>
      </c>
      <c r="E34" s="2">
        <v>10</v>
      </c>
      <c r="F34" s="3">
        <v>17490</v>
      </c>
      <c r="G34" s="20">
        <v>41.5</v>
      </c>
      <c r="H34" s="2">
        <v>11</v>
      </c>
    </row>
    <row r="35">
      <c r="A35" s="1">
        <v>46056</v>
      </c>
      <c r="B35" s="2">
        <v>5</v>
      </c>
      <c r="C35" s="2" t="inlineStr">
        <is>
          <t xml:space="preserve">LA533</t>
        </is>
      </c>
      <c r="D35" s="5">
        <v>4595</v>
      </c>
      <c r="E35" s="2">
        <v>8</v>
      </c>
      <c r="F35" s="3">
        <v>14567</v>
      </c>
      <c r="G35" s="20">
        <v>43.0</v>
      </c>
      <c r="H35" s="2">
        <v>14</v>
      </c>
    </row>
    <row r="36">
      <c r="A36" s="1">
        <v>46057</v>
      </c>
      <c r="B36" s="2">
        <v>5</v>
      </c>
      <c r="C36" s="2" t="inlineStr">
        <is>
          <t xml:space="preserve">LA532</t>
        </is>
      </c>
      <c r="D36" s="5">
        <v>4660</v>
      </c>
      <c r="E36" s="2">
        <v>9</v>
      </c>
      <c r="F36" s="3">
        <v>15976</v>
      </c>
      <c r="G36" s="20">
        <v>44.5</v>
      </c>
      <c r="H36" s="2">
        <v>17</v>
      </c>
    </row>
    <row r="37">
      <c r="A37" s="1">
        <v>46058</v>
      </c>
      <c r="B37" s="2">
        <v>6</v>
      </c>
      <c r="C37" s="2" t="inlineStr">
        <is>
          <t xml:space="preserve">LA533</t>
        </is>
      </c>
      <c r="D37" s="5">
        <v>4600</v>
      </c>
      <c r="E37" s="2">
        <v>10</v>
      </c>
      <c r="F37" s="3">
        <v>17560</v>
      </c>
      <c r="G37" s="20">
        <v>43.0</v>
      </c>
      <c r="H37" s="2">
        <v>20</v>
      </c>
    </row>
    <row r="38">
      <c r="A38" s="1">
        <v>46059</v>
      </c>
      <c r="B38" s="2">
        <v>6</v>
      </c>
      <c r="C38" s="2" t="inlineStr">
        <is>
          <t xml:space="preserve">LA532</t>
        </is>
      </c>
      <c r="D38" s="5">
        <v>4665</v>
      </c>
      <c r="E38" s="2">
        <v>11</v>
      </c>
      <c r="F38" s="3">
        <v>18969</v>
      </c>
      <c r="G38" s="20">
        <v>38.5</v>
      </c>
      <c r="H38" s="2">
        <v>5</v>
      </c>
    </row>
    <row r="39">
      <c r="A39" s="1">
        <v>46060</v>
      </c>
      <c r="B39" s="2">
        <v>6</v>
      </c>
      <c r="C39" s="2" t="inlineStr">
        <is>
          <t xml:space="preserve">LA533</t>
        </is>
      </c>
      <c r="D39" s="5">
        <v>4730</v>
      </c>
      <c r="E39" s="2">
        <v>12</v>
      </c>
      <c r="F39" s="3">
        <v>20378</v>
      </c>
      <c r="G39" s="20">
        <v>40.0</v>
      </c>
      <c r="H39" s="2">
        <v>8</v>
      </c>
    </row>
    <row r="40">
      <c r="A40" s="1">
        <v>46061</v>
      </c>
      <c r="B40" s="2">
        <v>6</v>
      </c>
      <c r="C40" s="2" t="inlineStr">
        <is>
          <t xml:space="preserve">LA532</t>
        </is>
      </c>
      <c r="D40" s="5">
        <v>4715</v>
      </c>
      <c r="E40" s="2">
        <v>11</v>
      </c>
      <c r="F40" s="3">
        <v>18899</v>
      </c>
      <c r="G40" s="20">
        <v>41.5</v>
      </c>
      <c r="H40" s="2">
        <v>11</v>
      </c>
    </row>
    <row r="41">
      <c r="A41" s="1">
        <v>46062</v>
      </c>
      <c r="B41" s="2">
        <v>6</v>
      </c>
      <c r="C41" s="2" t="inlineStr">
        <is>
          <t xml:space="preserve">LA533</t>
        </is>
      </c>
      <c r="D41" s="5">
        <v>4780</v>
      </c>
      <c r="E41" s="2">
        <v>12</v>
      </c>
      <c r="F41" s="3">
        <v>20308</v>
      </c>
      <c r="G41" s="20">
        <v>43.0</v>
      </c>
      <c r="H41" s="2">
        <v>14</v>
      </c>
    </row>
    <row r="42">
      <c r="A42" s="1">
        <v>46063</v>
      </c>
      <c r="B42" s="2">
        <v>6</v>
      </c>
      <c r="C42" s="2" t="inlineStr">
        <is>
          <t xml:space="preserve">LA532</t>
        </is>
      </c>
      <c r="D42" s="5">
        <v>4600</v>
      </c>
      <c r="E42" s="2">
        <v>10</v>
      </c>
      <c r="F42" s="3">
        <v>17560</v>
      </c>
      <c r="G42" s="20">
        <v>38.5</v>
      </c>
      <c r="H42" s="2">
        <v>17</v>
      </c>
    </row>
    <row r="43">
      <c r="A43" s="1">
        <v>46064</v>
      </c>
      <c r="B43" s="2">
        <v>6</v>
      </c>
      <c r="C43" s="2" t="inlineStr">
        <is>
          <t xml:space="preserve">LA533</t>
        </is>
      </c>
      <c r="D43" s="5">
        <v>4665</v>
      </c>
      <c r="E43" s="2">
        <v>11</v>
      </c>
      <c r="F43" s="3">
        <v>18969</v>
      </c>
      <c r="G43" s="20">
        <v>40.0</v>
      </c>
      <c r="H43" s="2">
        <v>20</v>
      </c>
    </row>
    <row r="44">
      <c r="A44" s="1">
        <v>46065</v>
      </c>
      <c r="B44" s="2">
        <v>7</v>
      </c>
      <c r="C44" s="2" t="inlineStr">
        <is>
          <t xml:space="preserve">LA532</t>
        </is>
      </c>
      <c r="D44" s="5">
        <v>4690</v>
      </c>
      <c r="E44" s="2">
        <v>11</v>
      </c>
      <c r="F44" s="3">
        <v>18934</v>
      </c>
      <c r="G44" s="20">
        <v>38.5</v>
      </c>
      <c r="H44" s="2">
        <v>5</v>
      </c>
    </row>
    <row r="45">
      <c r="A45" s="1">
        <v>46066</v>
      </c>
      <c r="B45" s="2">
        <v>7</v>
      </c>
      <c r="C45" s="2" t="inlineStr">
        <is>
          <t xml:space="preserve">LA533</t>
        </is>
      </c>
      <c r="D45" s="5">
        <v>4755</v>
      </c>
      <c r="E45" s="2">
        <v>12</v>
      </c>
      <c r="F45" s="3">
        <v>20343</v>
      </c>
      <c r="G45" s="20">
        <v>40.0</v>
      </c>
      <c r="H45" s="2">
        <v>8</v>
      </c>
    </row>
    <row r="46">
      <c r="A46" s="1">
        <v>46067</v>
      </c>
      <c r="B46" s="2">
        <v>7</v>
      </c>
      <c r="C46" s="2" t="inlineStr">
        <is>
          <t xml:space="preserve">LA532</t>
        </is>
      </c>
      <c r="D46" s="5">
        <v>4820</v>
      </c>
      <c r="E46" s="2">
        <v>13</v>
      </c>
      <c r="F46" s="3">
        <v>21752</v>
      </c>
      <c r="G46" s="20">
        <v>35.5</v>
      </c>
      <c r="H46" s="2">
        <v>11</v>
      </c>
    </row>
    <row r="47">
      <c r="A47" s="1">
        <v>46068</v>
      </c>
      <c r="B47" s="2">
        <v>7</v>
      </c>
      <c r="C47" s="2" t="inlineStr">
        <is>
          <t xml:space="preserve">LA533</t>
        </is>
      </c>
      <c r="D47" s="5">
        <v>4680</v>
      </c>
      <c r="E47" s="2">
        <v>12</v>
      </c>
      <c r="F47" s="3">
        <v>20448</v>
      </c>
      <c r="G47" s="20">
        <v>37.0</v>
      </c>
      <c r="H47" s="2">
        <v>14</v>
      </c>
    </row>
    <row r="48">
      <c r="A48" s="1">
        <v>46069</v>
      </c>
      <c r="B48" s="2">
        <v>7</v>
      </c>
      <c r="C48" s="2" t="inlineStr">
        <is>
          <t xml:space="preserve">LA532</t>
        </is>
      </c>
      <c r="D48" s="5">
        <v>4745</v>
      </c>
      <c r="E48" s="2">
        <v>13</v>
      </c>
      <c r="F48" s="3">
        <v>21857</v>
      </c>
      <c r="G48" s="20">
        <v>38.5</v>
      </c>
      <c r="H48" s="2">
        <v>17</v>
      </c>
    </row>
    <row r="49">
      <c r="A49" s="1">
        <v>46070</v>
      </c>
      <c r="B49" s="2">
        <v>7</v>
      </c>
      <c r="C49" s="2" t="inlineStr">
        <is>
          <t xml:space="preserve">LA533</t>
        </is>
      </c>
      <c r="D49" s="5">
        <v>4690</v>
      </c>
      <c r="E49" s="2">
        <v>11</v>
      </c>
      <c r="F49" s="3">
        <v>18934</v>
      </c>
      <c r="G49" s="20">
        <v>40.0</v>
      </c>
      <c r="H49" s="2">
        <v>20</v>
      </c>
    </row>
    <row r="50">
      <c r="A50" s="1">
        <v>46071</v>
      </c>
      <c r="B50" s="2">
        <v>7</v>
      </c>
      <c r="C50" s="2" t="inlineStr">
        <is>
          <t xml:space="preserve">LA532</t>
        </is>
      </c>
      <c r="D50" s="5">
        <v>4755</v>
      </c>
      <c r="E50" s="2">
        <v>12</v>
      </c>
      <c r="F50" s="3">
        <v>20343</v>
      </c>
      <c r="G50" s="20">
        <v>35.5</v>
      </c>
      <c r="H50" s="2">
        <v>5</v>
      </c>
    </row>
    <row r="51">
      <c r="A51" s="1">
        <v>46072</v>
      </c>
      <c r="B51" s="2">
        <v>8</v>
      </c>
      <c r="C51" s="2" t="inlineStr">
        <is>
          <t xml:space="preserve">LA533</t>
        </is>
      </c>
      <c r="D51" s="5">
        <v>4780</v>
      </c>
      <c r="E51" s="2">
        <v>12</v>
      </c>
      <c r="F51" s="3">
        <v>20308</v>
      </c>
      <c r="G51" s="20">
        <v>34.0</v>
      </c>
      <c r="H51" s="2">
        <v>8</v>
      </c>
    </row>
    <row r="52">
      <c r="A52" s="1">
        <v>46073</v>
      </c>
      <c r="B52" s="2">
        <v>8</v>
      </c>
      <c r="C52" s="2" t="inlineStr">
        <is>
          <t xml:space="preserve">LA532</t>
        </is>
      </c>
      <c r="D52" s="5">
        <v>4720</v>
      </c>
      <c r="E52" s="2">
        <v>13</v>
      </c>
      <c r="F52" s="3">
        <v>21892</v>
      </c>
      <c r="G52" s="20">
        <v>35.5</v>
      </c>
      <c r="H52" s="2">
        <v>11</v>
      </c>
    </row>
    <row r="53">
      <c r="A53" s="1">
        <v>46074</v>
      </c>
      <c r="B53" s="2">
        <v>8</v>
      </c>
      <c r="C53" s="2" t="inlineStr">
        <is>
          <t xml:space="preserve">LA533</t>
        </is>
      </c>
      <c r="D53" s="5">
        <v>4785</v>
      </c>
      <c r="E53" s="2">
        <v>14</v>
      </c>
      <c r="F53" s="3">
        <v>23301</v>
      </c>
      <c r="G53" s="20">
        <v>37.0</v>
      </c>
      <c r="H53" s="2">
        <v>14</v>
      </c>
    </row>
    <row r="54">
      <c r="A54" s="1">
        <v>46075</v>
      </c>
      <c r="B54" s="2">
        <v>8</v>
      </c>
      <c r="C54" s="2" t="inlineStr">
        <is>
          <t xml:space="preserve">LA532</t>
        </is>
      </c>
      <c r="D54" s="5">
        <v>4770</v>
      </c>
      <c r="E54" s="2">
        <v>13</v>
      </c>
      <c r="F54" s="3">
        <v>21822</v>
      </c>
      <c r="G54" s="20">
        <v>32.5</v>
      </c>
      <c r="H54" s="2">
        <v>17</v>
      </c>
    </row>
    <row r="55">
      <c r="A55" s="1">
        <v>46076</v>
      </c>
      <c r="B55" s="2">
        <v>8</v>
      </c>
      <c r="C55" s="2" t="inlineStr">
        <is>
          <t xml:space="preserve">LA533</t>
        </is>
      </c>
      <c r="D55" s="5">
        <v>4835</v>
      </c>
      <c r="E55" s="2">
        <v>14</v>
      </c>
      <c r="F55" s="3">
        <v>23231</v>
      </c>
      <c r="G55" s="20">
        <v>34.0</v>
      </c>
      <c r="H55" s="2">
        <v>20</v>
      </c>
    </row>
    <row r="56">
      <c r="A56" s="1">
        <v>46077</v>
      </c>
      <c r="B56" s="2">
        <v>8</v>
      </c>
      <c r="C56" s="2" t="inlineStr">
        <is>
          <t xml:space="preserve">LA532</t>
        </is>
      </c>
      <c r="D56" s="5">
        <v>4780</v>
      </c>
      <c r="E56" s="2">
        <v>12</v>
      </c>
      <c r="F56" s="3">
        <v>20308</v>
      </c>
      <c r="G56" s="20">
        <v>35.5</v>
      </c>
      <c r="H56" s="2">
        <v>5</v>
      </c>
    </row>
    <row r="57">
      <c r="A57" s="1">
        <v>46078</v>
      </c>
      <c r="B57" s="2">
        <v>8</v>
      </c>
      <c r="C57" s="2" t="inlineStr">
        <is>
          <t xml:space="preserve">LA533</t>
        </is>
      </c>
      <c r="D57" s="5">
        <v>4720</v>
      </c>
      <c r="E57" s="2">
        <v>13</v>
      </c>
      <c r="F57" s="3">
        <v>21892</v>
      </c>
      <c r="G57" s="20">
        <v>37.0</v>
      </c>
      <c r="H57" s="2">
        <v>8</v>
      </c>
    </row>
    <row r="58">
      <c r="A58" s="1">
        <v>46079</v>
      </c>
      <c r="B58" s="2">
        <v>9</v>
      </c>
      <c r="C58" s="2" t="inlineStr">
        <is>
          <t xml:space="preserve">LA532</t>
        </is>
      </c>
      <c r="D58" s="5">
        <v>4745</v>
      </c>
      <c r="E58" s="2">
        <v>13</v>
      </c>
      <c r="F58" s="3">
        <v>21857</v>
      </c>
      <c r="G58" s="20">
        <v>29.5</v>
      </c>
      <c r="H58" s="2">
        <v>11</v>
      </c>
    </row>
    <row r="59">
      <c r="A59" s="1">
        <v>46080</v>
      </c>
      <c r="B59" s="2">
        <v>9</v>
      </c>
      <c r="C59" s="2" t="inlineStr">
        <is>
          <t xml:space="preserve">LA533</t>
        </is>
      </c>
      <c r="D59" s="5">
        <v>4810</v>
      </c>
      <c r="E59" s="2">
        <v>14</v>
      </c>
      <c r="F59" s="3">
        <v>23266</v>
      </c>
      <c r="G59" s="20">
        <v>31.0</v>
      </c>
      <c r="H59" s="2">
        <v>14</v>
      </c>
    </row>
    <row r="60">
      <c r="A60" s="1">
        <v>46081</v>
      </c>
      <c r="B60" s="2">
        <v>9</v>
      </c>
      <c r="C60" s="2" t="inlineStr">
        <is>
          <t xml:space="preserve">LA532</t>
        </is>
      </c>
      <c r="D60" s="5">
        <v>4875</v>
      </c>
      <c r="E60" s="2">
        <v>15</v>
      </c>
      <c r="F60" s="3">
        <v>24675</v>
      </c>
      <c r="G60" s="20">
        <v>32.5</v>
      </c>
      <c r="H60" s="2">
        <v>17</v>
      </c>
    </row>
    <row r="61">
      <c r="A61" s="1">
        <v>46082</v>
      </c>
      <c r="B61" s="2">
        <v>9</v>
      </c>
      <c r="C61" s="2" t="inlineStr">
        <is>
          <t xml:space="preserve">LA533</t>
        </is>
      </c>
      <c r="D61" s="5">
        <v>4860</v>
      </c>
      <c r="E61" s="2">
        <v>14</v>
      </c>
      <c r="F61" s="3">
        <v>23196</v>
      </c>
      <c r="G61" s="20">
        <v>34.0</v>
      </c>
      <c r="H61" s="2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" customWidth="1"/>
    <col min="2" max="2" width="20" customWidth="1"/>
    <col min="3" max="3" width="20" customWidth="1"/>
    <col min="4" max="4" width="20" customWidth="1"/>
    <col min="5" max="5" width="18" customWidth="1"/>
    <col min="6" max="6" width="18" customWidth="1"/>
    <col min="7" max="7" width="16" customWidth="1"/>
  </cols>
  <sheetData>
    <row r="1" ht="30" customHeight="1">
      <c r="A1" s="4" t="inlineStr">
        <is>
          <t xml:space="preserve">Semana</t>
        </is>
      </c>
      <c r="B1" s="4" t="inlineStr">
        <is>
          <t xml:space="preserve">Asientos Eco (Suma)</t>
        </is>
      </c>
      <c r="C1" s="4" t="inlineStr">
        <is>
          <t xml:space="preserve">Asientos Eco (Prom)</t>
        </is>
      </c>
      <c r="D1" s="4" t="inlineStr">
        <is>
          <t xml:space="preserve">Margen USD (Suma)</t>
        </is>
      </c>
      <c r="E1" s="4" t="inlineStr">
        <is>
          <t xml:space="preserve">Litros SAF (Suma)</t>
        </is>
      </c>
      <c r="F1" s="4" t="inlineStr">
        <is>
          <t xml:space="preserve">APU min (Prom)</t>
        </is>
      </c>
      <c r="G1" s="4" t="inlineStr">
        <is>
          <t xml:space="preserve">Retraso (Prom)</t>
        </is>
      </c>
    </row>
    <row r="2">
      <c r="A2" s="2">
        <v>1</v>
      </c>
      <c r="B2" s="2">
        <f>SUMIF('Data Cruda'!$B$2:$B$61,A2,'Data Cruda'!$E$2:$E$61)</f>
        <v>126</v>
      </c>
      <c r="C2" s="20">
        <f>AVERAGEIF('Data Cruda'!$B$2:$B$61,A2,'Data Cruda'!$E$2:$E$61)</f>
        <v>18.0</v>
      </c>
      <c r="D2" s="3">
        <f>SUMIF('Data Cruda'!$B$2:$B$61,A2,'Data Cruda'!$F$2:$F$61)</f>
        <v>203399</v>
      </c>
      <c r="E2" s="2">
        <f>SUMIF('Data Cruda'!$B$2:$B$61,A2,'Data Cruda'!$D$2:$D$61)</f>
        <v>34715</v>
      </c>
      <c r="F2" s="20">
        <f>AVERAGEIF('Data Cruda'!$B$2:$B$61,A2,'Data Cruda'!$G$2:$G$61)</f>
        <v>55.4</v>
      </c>
      <c r="G2" s="20">
        <f>AVERAGEIF('Data Cruda'!$B$2:$B$61,A2,'Data Cruda'!$H$2:$H$61)</f>
        <v>11.4</v>
      </c>
    </row>
    <row r="3">
      <c r="A3" s="2">
        <v>2</v>
      </c>
      <c r="B3" s="2">
        <f>SUMIF('Data Cruda'!$B$2:$B$61,A3,'Data Cruda'!$E$2:$E$61)</f>
        <v>133</v>
      </c>
      <c r="C3" s="20">
        <f>AVERAGEIF('Data Cruda'!$B$2:$B$61,A3,'Data Cruda'!$E$2:$E$61)</f>
        <v>19.0</v>
      </c>
      <c r="D3" s="3">
        <f>SUMIF('Data Cruda'!$B$2:$B$61,A3,'Data Cruda'!$F$2:$F$61)</f>
        <v>213367</v>
      </c>
      <c r="E3" s="2">
        <f>SUMIF('Data Cruda'!$B$2:$B$61,A3,'Data Cruda'!$D$2:$D$61)</f>
        <v>35095</v>
      </c>
      <c r="F3" s="20">
        <f>AVERAGEIF('Data Cruda'!$B$2:$B$61,A3,'Data Cruda'!$G$2:$G$61)</f>
        <v>52.6</v>
      </c>
      <c r="G3" s="20">
        <f>AVERAGEIF('Data Cruda'!$B$2:$B$61,A3,'Data Cruda'!$H$2:$H$61)</f>
        <v>11.9</v>
      </c>
    </row>
    <row r="4">
      <c r="A4" s="2">
        <v>3</v>
      </c>
      <c r="B4" s="2">
        <f>SUMIF('Data Cruda'!$B$2:$B$61,A4,'Data Cruda'!$E$2:$E$61)</f>
        <v>28</v>
      </c>
      <c r="C4" s="20">
        <f>AVERAGEIF('Data Cruda'!$B$2:$B$61,A4,'Data Cruda'!$E$2:$E$61)</f>
        <v>4.0</v>
      </c>
      <c r="D4" s="3">
        <f>SUMIF('Data Cruda'!$B$2:$B$61,A4,'Data Cruda'!$F$2:$F$61)</f>
        <v>61782</v>
      </c>
      <c r="E4" s="2">
        <f>SUMIF('Data Cruda'!$B$2:$B$61,A4,'Data Cruda'!$D$2:$D$61)</f>
        <v>30870</v>
      </c>
      <c r="F4" s="20">
        <f>AVERAGEIF('Data Cruda'!$B$2:$B$61,A4,'Data Cruda'!$G$2:$G$61)</f>
        <v>50.9</v>
      </c>
      <c r="G4" s="20">
        <f>AVERAGEIF('Data Cruda'!$B$2:$B$61,A4,'Data Cruda'!$H$2:$H$61)</f>
        <v>20.3</v>
      </c>
    </row>
    <row r="5">
      <c r="A5" s="2">
        <v>4</v>
      </c>
      <c r="B5" s="2">
        <f>SUMIF('Data Cruda'!$B$2:$B$61,A5,'Data Cruda'!$E$2:$E$61)</f>
        <v>56</v>
      </c>
      <c r="C5" s="20">
        <f>AVERAGEIF('Data Cruda'!$B$2:$B$61,A5,'Data Cruda'!$E$2:$E$61)</f>
        <v>8.0</v>
      </c>
      <c r="D5" s="3">
        <f>SUMIF('Data Cruda'!$B$2:$B$61,A5,'Data Cruda'!$F$2:$F$61)</f>
        <v>102249</v>
      </c>
      <c r="E5" s="2">
        <f>SUMIF('Data Cruda'!$B$2:$B$61,A5,'Data Cruda'!$D$2:$D$61)</f>
        <v>31965</v>
      </c>
      <c r="F5" s="20">
        <f>AVERAGEIF('Data Cruda'!$B$2:$B$61,A5,'Data Cruda'!$G$2:$G$61)</f>
        <v>47.1</v>
      </c>
      <c r="G5" s="20">
        <f>AVERAGEIF('Data Cruda'!$B$2:$B$61,A5,'Data Cruda'!$H$2:$H$61)</f>
        <v>12.7</v>
      </c>
    </row>
    <row r="6">
      <c r="A6" s="2">
        <v>5</v>
      </c>
      <c r="B6" s="2">
        <f>SUMIF('Data Cruda'!$B$2:$B$61,A6,'Data Cruda'!$E$2:$E$61)</f>
        <v>63</v>
      </c>
      <c r="C6" s="20">
        <f>AVERAGEIF('Data Cruda'!$B$2:$B$61,A6,'Data Cruda'!$E$2:$E$61)</f>
        <v>9.0</v>
      </c>
      <c r="D6" s="3">
        <f>SUMIF('Data Cruda'!$B$2:$B$61,A6,'Data Cruda'!$F$2:$F$61)</f>
        <v>112217</v>
      </c>
      <c r="E6" s="2">
        <f>SUMIF('Data Cruda'!$B$2:$B$61,A6,'Data Cruda'!$D$2:$D$61)</f>
        <v>32345</v>
      </c>
      <c r="F6" s="20">
        <f>AVERAGEIF('Data Cruda'!$B$2:$B$61,A6,'Data Cruda'!$G$2:$G$61)</f>
        <v>43.4</v>
      </c>
      <c r="G6" s="20">
        <f>AVERAGEIF('Data Cruda'!$B$2:$B$61,A6,'Data Cruda'!$H$2:$H$61)</f>
        <v>13.1</v>
      </c>
    </row>
    <row r="7">
      <c r="A7" s="2">
        <v>6</v>
      </c>
      <c r="B7" s="2">
        <f>SUMIF('Data Cruda'!$B$2:$B$61,A7,'Data Cruda'!$E$2:$E$61)</f>
        <v>77</v>
      </c>
      <c r="C7" s="20">
        <f>AVERAGEIF('Data Cruda'!$B$2:$B$61,A7,'Data Cruda'!$E$2:$E$61)</f>
        <v>11.0</v>
      </c>
      <c r="D7" s="3">
        <f>SUMIF('Data Cruda'!$B$2:$B$61,A7,'Data Cruda'!$F$2:$F$61)</f>
        <v>132643</v>
      </c>
      <c r="E7" s="2">
        <f>SUMIF('Data Cruda'!$B$2:$B$61,A7,'Data Cruda'!$D$2:$D$61)</f>
        <v>32755</v>
      </c>
      <c r="F7" s="20">
        <f>AVERAGEIF('Data Cruda'!$B$2:$B$61,A7,'Data Cruda'!$G$2:$G$61)</f>
        <v>40.6</v>
      </c>
      <c r="G7" s="20">
        <f>AVERAGEIF('Data Cruda'!$B$2:$B$61,A7,'Data Cruda'!$H$2:$H$61)</f>
        <v>13.6</v>
      </c>
    </row>
    <row r="8">
      <c r="A8" s="2">
        <v>7</v>
      </c>
      <c r="B8" s="2">
        <f>SUMIF('Data Cruda'!$B$2:$B$61,A8,'Data Cruda'!$E$2:$E$61)</f>
        <v>84</v>
      </c>
      <c r="C8" s="20">
        <f>AVERAGEIF('Data Cruda'!$B$2:$B$61,A8,'Data Cruda'!$E$2:$E$61)</f>
        <v>12.0</v>
      </c>
      <c r="D8" s="3">
        <f>SUMIF('Data Cruda'!$B$2:$B$61,A8,'Data Cruda'!$F$2:$F$61)</f>
        <v>142611</v>
      </c>
      <c r="E8" s="2">
        <f>SUMIF('Data Cruda'!$B$2:$B$61,A8,'Data Cruda'!$D$2:$D$61)</f>
        <v>33135</v>
      </c>
      <c r="F8" s="20">
        <f>AVERAGEIF('Data Cruda'!$B$2:$B$61,A8,'Data Cruda'!$G$2:$G$61)</f>
        <v>37.9</v>
      </c>
      <c r="G8" s="20">
        <f>AVERAGEIF('Data Cruda'!$B$2:$B$61,A8,'Data Cruda'!$H$2:$H$61)</f>
        <v>11.4</v>
      </c>
    </row>
    <row r="9">
      <c r="A9" s="2">
        <v>8</v>
      </c>
      <c r="B9" s="2">
        <f>SUMIF('Data Cruda'!$B$2:$B$61,A9,'Data Cruda'!$E$2:$E$61)</f>
        <v>91</v>
      </c>
      <c r="C9" s="20">
        <f>AVERAGEIF('Data Cruda'!$B$2:$B$61,A9,'Data Cruda'!$E$2:$E$61)</f>
        <v>13.0</v>
      </c>
      <c r="D9" s="3">
        <f>SUMIF('Data Cruda'!$B$2:$B$61,A9,'Data Cruda'!$F$2:$F$61)</f>
        <v>152754</v>
      </c>
      <c r="E9" s="2">
        <f>SUMIF('Data Cruda'!$B$2:$B$61,A9,'Data Cruda'!$D$2:$D$61)</f>
        <v>33390</v>
      </c>
      <c r="F9" s="20">
        <f>AVERAGEIF('Data Cruda'!$B$2:$B$61,A9,'Data Cruda'!$G$2:$G$61)</f>
        <v>35.1</v>
      </c>
      <c r="G9" s="20">
        <f>AVERAGEIF('Data Cruda'!$B$2:$B$61,A9,'Data Cruda'!$H$2:$H$61)</f>
        <v>11.9</v>
      </c>
    </row>
    <row r="10">
      <c r="A10" s="2">
        <v>9</v>
      </c>
      <c r="B10" s="2">
        <f>SUMIF('Data Cruda'!$B$2:$B$61,A10,'Data Cruda'!$E$2:$E$61)</f>
        <v>56</v>
      </c>
      <c r="C10" s="20">
        <f>AVERAGEIF('Data Cruda'!$B$2:$B$61,A10,'Data Cruda'!$E$2:$E$61)</f>
        <v>14.0</v>
      </c>
      <c r="D10" s="3">
        <f>SUMIF('Data Cruda'!$B$2:$B$61,A10,'Data Cruda'!$F$2:$F$61)</f>
        <v>92994</v>
      </c>
      <c r="E10" s="2">
        <f>SUMIF('Data Cruda'!$B$2:$B$61,A10,'Data Cruda'!$D$2:$D$61)</f>
        <v>19290</v>
      </c>
      <c r="F10" s="20">
        <f>AVERAGEIF('Data Cruda'!$B$2:$B$61,A10,'Data Cruda'!$G$2:$G$61)</f>
        <v>31.8</v>
      </c>
      <c r="G10" s="20">
        <f>AVERAGEIF('Data Cruda'!$B$2:$B$61,A10,'Data Cruda'!$H$2:$H$61)</f>
        <v>15.5</v>
      </c>
    </row>
    <row r="13">
      <c r="A13" s="4" t="inlineStr">
        <is>
          <t xml:space="preserve">Datos Gauge APU</t>
        </is>
      </c>
    </row>
    <row r="14">
      <c r="A14" s="0" t="inlineStr">
        <is>
          <t xml:space="preserve">APU Promedio</t>
        </is>
      </c>
      <c r="B14" s="20">
        <f>AVERAGE('Data Cruda'!$G$2:$G$61)</f>
        <v>44.5</v>
      </c>
    </row>
    <row r="15">
      <c r="A15" s="0" t="inlineStr">
        <is>
          <t xml:space="preserve">Holgura (Meta 60)</t>
        </is>
      </c>
      <c r="B15" s="20">
        <f>60-B14</f>
        <v>15.5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showGridLines="0" tabSelected="1" workbookViewId="0"/>
  </sheetViews>
  <sheetFormatPr defaultRowHeight="15"/>
  <cols>
    <col min="1" max="14" width="11.5" customWidth="1"/>
  </cols>
  <sheetData>
    <row r="1" ht="34" customHeight="1">
      <c r="A1" s="23" t="inlineStr">
        <is>
          <t xml:space="preserve">LATAM AIRLINES  |  MISION CIELO VERDE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26" customHeight="1">
      <c r="A2" s="17" t="inlineStr">
        <is>
          <t xml:space="preserve">Ruta Piloto: Santiago (SCL)  -&gt;  Miami (MIA)   |   Programa Eco-Corporate Premium</t>
        </is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22" customHeight="1">
      <c r="A3" s="8" t="inlineStr">
        <is>
          <t xml:space="preserve">SELECCIONE SEMANA A ANALIZAR:</t>
        </is>
      </c>
      <c r="B3" s="6"/>
      <c r="C3" s="6"/>
      <c r="D3" s="6"/>
      <c r="E3" s="16">
        <v>3</v>
      </c>
      <c r="F3" s="6"/>
      <c r="G3" s="6"/>
      <c r="H3" s="17" t="inlineStr">
        <is>
          <t xml:space="preserve">Periodo: 60 dias  /  9 semanas  /  vuelo diario</t>
        </is>
      </c>
      <c r="I3" s="6"/>
      <c r="J3" s="6"/>
      <c r="K3" s="6"/>
      <c r="L3" s="6"/>
      <c r="M3" s="6"/>
      <c r="N3" s="6"/>
    </row>
    <row r="4" ht="7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ht="22" customHeight="1">
      <c r="A5" s="24" t="inlineStr">
        <is>
          <t xml:space="preserve">MARGEN TOTAL RUTA (USD)</t>
        </is>
      </c>
      <c r="B5" s="32"/>
      <c r="C5" s="32"/>
      <c r="D5" s="32"/>
      <c r="E5" s="26" t="inlineStr">
        <is>
          <t xml:space="preserve">ADOPCION GREEN %</t>
        </is>
      </c>
      <c r="F5" s="33"/>
      <c r="G5" s="33"/>
      <c r="H5" s="33"/>
      <c r="I5" s="28" t="inlineStr">
        <is>
          <t xml:space="preserve">APU PROM (min) LEAD</t>
        </is>
      </c>
      <c r="J5" s="34"/>
      <c r="K5" s="34"/>
      <c r="L5" s="30" t="inlineStr">
        <is>
          <t xml:space="preserve">VENTA ECO S3 (CRISIS)</t>
        </is>
      </c>
      <c r="M5" s="35"/>
      <c r="N5" s="35"/>
    </row>
    <row r="6" ht="46" customHeight="1">
      <c r="A6" s="25">
        <f>SUM('Data Cruda'!F2:F61)</f>
        <v>1214016</v>
      </c>
      <c r="B6" s="32"/>
      <c r="C6" s="32"/>
      <c r="D6" s="32"/>
      <c r="E6" s="27">
        <f>SUM('Data Cruda'!E2:E61)/1200</f>
        <v>0.595</v>
      </c>
      <c r="F6" s="33"/>
      <c r="G6" s="33"/>
      <c r="H6" s="33"/>
      <c r="I6" s="29">
        <f>'Calculos'!B14</f>
        <v>44.5</v>
      </c>
      <c r="J6" s="34"/>
      <c r="K6" s="34"/>
      <c r="L6" s="31">
        <f>'Calculos'!C4</f>
        <v>4.0</v>
      </c>
      <c r="M6" s="35"/>
      <c r="N6" s="35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>
      <c r="A8" s="8" t="inlineStr">
        <is>
          <t xml:space="preserve">SEMAFORO ADOPCION ECO-CORPORATE POR SEMANA  (rojo = critico)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>
      <c r="A9" s="13" t="inlineStr">
        <is>
          <t xml:space="preserve">Semana</t>
        </is>
      </c>
      <c r="B9" s="13">
        <v>1</v>
      </c>
      <c r="C9" s="13">
        <v>2</v>
      </c>
      <c r="D9" s="13">
        <v>3</v>
      </c>
      <c r="E9" s="13">
        <v>4</v>
      </c>
      <c r="F9" s="13">
        <v>5</v>
      </c>
      <c r="G9" s="13">
        <v>6</v>
      </c>
      <c r="H9" s="13">
        <v>7</v>
      </c>
      <c r="I9" s="13">
        <v>8</v>
      </c>
      <c r="J9" s="13">
        <v>9</v>
      </c>
      <c r="K9" s="6"/>
      <c r="L9" s="6"/>
      <c r="M9" s="6"/>
      <c r="N9" s="6"/>
    </row>
    <row r="10">
      <c r="A10" s="14" t="inlineStr">
        <is>
          <t xml:space="preserve">Asientos Eco (prom)</t>
        </is>
      </c>
      <c r="B10" s="21">
        <f>'Calculos'!C2</f>
        <v>18.0</v>
      </c>
      <c r="C10" s="21">
        <f>'Calculos'!C3</f>
        <v>19.0</v>
      </c>
      <c r="D10" s="21">
        <f>'Calculos'!C4</f>
        <v>4.0</v>
      </c>
      <c r="E10" s="21">
        <f>'Calculos'!C5</f>
        <v>8.0</v>
      </c>
      <c r="F10" s="21">
        <f>'Calculos'!C6</f>
        <v>9.0</v>
      </c>
      <c r="G10" s="21">
        <f>'Calculos'!C7</f>
        <v>11.0</v>
      </c>
      <c r="H10" s="21">
        <f>'Calculos'!C8</f>
        <v>12.0</v>
      </c>
      <c r="I10" s="21">
        <f>'Calculos'!C9</f>
        <v>13.0</v>
      </c>
      <c r="J10" s="21">
        <f>'Calculos'!C10</f>
        <v>14.0</v>
      </c>
      <c r="K10" s="6"/>
      <c r="L10" s="6"/>
      <c r="M10" s="6"/>
      <c r="N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>
      <c r="A12" s="8" t="inlineStr">
        <is>
          <t xml:space="preserve">EVOLUCION DEL MARGEN DE RUTA (60 DIAS)</t>
        </is>
      </c>
      <c r="B12" s="6"/>
      <c r="C12" s="6"/>
      <c r="D12" s="6"/>
      <c r="E12" s="6"/>
      <c r="F12" s="6"/>
      <c r="G12" s="6"/>
      <c r="H12" s="6"/>
      <c r="I12" s="8" t="inlineStr">
        <is>
          <t xml:space="preserve">GAUGE: MINUTOS APU EN TIERRA</t>
        </is>
      </c>
      <c r="J12" s="6"/>
      <c r="K12" s="6"/>
      <c r="L12" s="6"/>
      <c r="M12" s="6"/>
      <c r="N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8" t="inlineStr">
        <is>
          <t xml:space="preserve">ACCION CORRECTIVA AGIL (48H) - Crisis Semana 3:</t>
        </is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17" t="inlineStr">
        <is>
          <t xml:space="preserve">Reasignar squad comercial: contactar Top 5 multinacionales y ofrecer upgrade Eco-Corporate de prueba + certificado Scope 3 piloto.</t>
        </is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</sheetData>
  <mergeCells count="19">
    <mergeCell ref="A1:N1"/>
    <mergeCell ref="A2:N2"/>
    <mergeCell ref="A3:D3"/>
    <mergeCell ref="E3:F3"/>
    <mergeCell ref="H3:N3"/>
    <mergeCell ref="A4:N4"/>
    <mergeCell ref="A5:D5"/>
    <mergeCell ref="A6:D6"/>
    <mergeCell ref="E5:H5"/>
    <mergeCell ref="E6:H6"/>
    <mergeCell ref="I5:K5"/>
    <mergeCell ref="I6:K6"/>
    <mergeCell ref="L5:N5"/>
    <mergeCell ref="L6:N6"/>
    <mergeCell ref="A8:N8"/>
    <mergeCell ref="A12:H12"/>
    <mergeCell ref="I12:N12"/>
    <mergeCell ref="A31:N31"/>
    <mergeCell ref="A32:N32"/>
  </mergeCells>
  <conditionalFormatting sqref="B10:J10">
    <cfRule type="iconSet" priority="1">
      <iconSet iconSet="3TrafficLights1">
        <cfvo type="percent" val="0"/>
        <cfvo type="num" val="10"/>
        <cfvo type="num" val="15"/>
      </iconSet>
    </cfRule>
  </conditionalFormatting>
  <conditionalFormatting sqref="L6">
    <cfRule type="iconSet" priority="2">
      <iconSet iconSet="3TrafficLights1">
        <cfvo type="percent" val="0"/>
        <cfvo type="num" val="10"/>
        <cfvo type="num" val="15"/>
      </iconSet>
    </cfRule>
  </conditionalFormatting>
  <dataValidations count="1">
    <dataValidation type="list" allowBlank="1" showInputMessage="1" showErrorMessage="1" sqref="E3">
      <formula1>"1,2,3,4,5,6,7,8,9"</formula1>
    </dataValidation>
  </dataValidations>
  <drawing r:id="rId1"/>
</worksheet>
</file>