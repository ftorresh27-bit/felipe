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ta_Dinamica" sheetId="2" state="visible" r:id="rId2"/>
    <sheet xmlns:r="http://schemas.openxmlformats.org/officeDocument/2006/relationships" name="Calculo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trucc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\$#,##0.00"/>
    <numFmt numFmtId="166" formatCode="0.0"/>
    <numFmt numFmtId="167" formatCode="0.0%"/>
    <numFmt numFmtId="168" formatCode="dd\-mmm\-yyyy"/>
  </numFmts>
  <fonts count="29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6"/>
    </font>
    <font>
      <name val="Calibri"/>
      <color rgb="FF0B1F33"/>
      <sz val="10"/>
    </font>
    <font>
      <name val="Calibri"/>
      <i val="1"/>
      <color rgb="FF0B1F33"/>
      <sz val="10"/>
    </font>
    <font>
      <name val="Calibri"/>
      <b val="1"/>
      <color rgb="FF0B1F33"/>
      <sz val="10"/>
    </font>
    <font>
      <name val="Calibri"/>
      <b val="1"/>
      <color rgb="FF003A5D"/>
      <sz val="10"/>
    </font>
    <font>
      <name val="Calibri"/>
      <b val="1"/>
      <i val="1"/>
      <color rgb="FF334155"/>
      <sz val="10"/>
    </font>
    <font>
      <name val="Calibri"/>
      <b val="1"/>
      <color rgb="FF0C4A6E"/>
      <sz val="10"/>
    </font>
    <font>
      <name val="Calibri"/>
      <b val="1"/>
      <color rgb="FF0369A1"/>
      <sz val="10"/>
    </font>
    <font>
      <name val="Calibri"/>
      <b val="1"/>
      <color rgb="FF0F172A"/>
      <sz val="14"/>
    </font>
    <font>
      <name val="Calibri"/>
      <b val="1"/>
      <color rgb="FF991B1B"/>
      <sz val="10"/>
    </font>
    <font>
      <name val="Calibri"/>
      <b val="1"/>
      <color rgb="FF92400E"/>
      <sz val="10"/>
    </font>
    <font>
      <name val="Calibri"/>
      <b val="1"/>
      <color rgb="FF166534"/>
      <sz val="10"/>
    </font>
    <font>
      <name val="Calibri"/>
      <b val="1"/>
      <color rgb="FF0F172A"/>
      <sz val="22"/>
    </font>
    <font>
      <name val="Calibri"/>
      <b val="1"/>
      <color rgb="FF0F172A"/>
      <sz val="10"/>
    </font>
    <font>
      <name val="Calibri"/>
      <color rgb="FF7C2D12"/>
      <sz val="10"/>
    </font>
    <font>
      <name val="Calibri"/>
      <b val="1"/>
      <color rgb="FF7C2D12"/>
      <sz val="10"/>
    </font>
    <font>
      <name val="Calibri"/>
      <color rgb="FF0F172A"/>
      <sz val="10"/>
    </font>
    <font>
      <name val="Carlito"/>
      <b val="1"/>
      <color rgb="FFFFFFFF"/>
      <sz val="14"/>
    </font>
    <font>
      <name val="Calibri"/>
      <b val="1"/>
      <i val="1"/>
      <color rgb="FFFFFFFF"/>
      <sz val="10"/>
    </font>
    <font>
      <name val="Calibri"/>
      <b val="1"/>
      <color rgb="FF991B1B"/>
      <sz val="18"/>
    </font>
    <font>
      <name val="Calibri"/>
      <b val="1"/>
      <color rgb="FF92400E"/>
      <sz val="18"/>
    </font>
    <font>
      <name val="Calibri"/>
      <b val="1"/>
      <color rgb="FF166534"/>
      <sz val="18"/>
    </font>
    <font>
      <b/>
      <sz val="14"/>
      <color rgb="FFFFFFFF"/>
      <name val="Calibri"/>
    </font>
  </fonts>
  <fills count="2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0B1F33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BFE7FF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CA5A5"/>
      </patternFill>
    </fill>
    <fill>
      <patternFill patternType="solid">
        <fgColor rgb="FFFDE68A"/>
      </patternFill>
    </fill>
    <fill>
      <patternFill patternType="solid">
        <fgColor rgb="FFBBF7D0"/>
      </patternFill>
    </fill>
    <fill>
      <patternFill patternType="solid">
        <fgColor rgb="FFFFF7ED"/>
      </patternFill>
    </fill>
    <fill>
      <patternFill patternType="solid">
        <fgColor rgb="FF475569"/>
      </patternFill>
    </fill>
    <fill>
      <patternFill patternType="solid">
        <fgColor rgb="FF0B1F33"/>
      </patternFill>
    </fill>
    <fill>
      <gradientFill degree="35">
        <stop position="0">
          <color rgb="FF00C853"/>
        </stop>
        <stop position="1">
          <color rgb="FF0B1F33"/>
        </stop>
      </gradientFill>
    </fill>
    <fill>
      <patternFill patternType="solid">
        <fgColor rgb="FF0E4C5A"/>
      </patternFill>
    </fill>
    <fill>
      <patternFill patternType="solid">
        <fgColor rgb="FF14502B"/>
      </patternFill>
    </fill>
    <fill>
      <patternFill patternType="solid">
        <fgColor rgb="FF5A3E0E"/>
      </patternFill>
    </fill>
    <fill>
      <patternFill patternType="solid">
        <fgColor rgb="FF0E3A5A"/>
      </patternFill>
    </fill>
    <fill>
      <patternFill patternType="solid">
        <fgColor rgb="FF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9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 wrapText="1"/>
    </xf>
    <xf applyFill="1" numFmtId="0" fontId="4" fillId="20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 wrapText="1"/>
    </xf>
    <xf numFmtId="164" fontId="9" fillId="6" borderId="0" applyAlignment="1" pivotButton="0" quotePrefix="0" xfId="0">
      <alignment horizontal="center" vertical="center" wrapText="1"/>
    </xf>
    <xf numFmtId="2" fontId="9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applyFill="1" numFmtId="0" fontId="3" fillId="26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164" fontId="14" fillId="8" borderId="0" applyAlignment="1" pivotButton="0" quotePrefix="0" xfId="0">
      <alignment horizontal="center" vertical="center" wrapText="1"/>
    </xf>
    <xf numFmtId="167" fontId="14" fillId="8" borderId="0" applyAlignment="1" pivotButton="0" quotePrefix="0" xfId="0">
      <alignment horizontal="center" vertical="center" wrapText="1"/>
    </xf>
    <xf numFmtId="166" fontId="14" fillId="8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164" fontId="3" fillId="19" borderId="0" applyAlignment="1" pivotButton="0" quotePrefix="0" xfId="0">
      <alignment horizontal="center" vertical="center" wrapText="1"/>
    </xf>
    <xf numFmtId="9" fontId="3" fillId="19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164" fontId="22" fillId="8" borderId="0" applyAlignment="1" pivotButton="0" quotePrefix="0" xfId="0">
      <alignment horizontal="center" vertical="center" wrapText="1"/>
    </xf>
    <xf numFmtId="167" fontId="2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168" fontId="0" fillId="0" borderId="0" pivotButton="0" quotePrefix="0" xfId="0"/>
    <xf numFmtId="167" fontId="0" fillId="0" borderId="0" pivotButton="0" quotePrefix="0" xfId="0"/>
    <xf numFmtId="0" fontId="2" fillId="10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164" fontId="22" fillId="3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  <xf numFmtId="164" fontId="19" fillId="3" borderId="0" applyAlignment="1" pivotButton="0" quotePrefix="0" xfId="0">
      <alignment horizontal="center" vertical="center" wrapText="1"/>
    </xf>
    <xf numFmtId="167" fontId="19" fillId="3" borderId="0" applyAlignment="1" pivotButton="0" quotePrefix="0" xfId="0">
      <alignment horizontal="center" vertical="center" wrapText="1"/>
    </xf>
    <xf numFmtId="166" fontId="19" fillId="3" borderId="0" applyAlignment="1" pivotButton="0" quotePrefix="0" xfId="0">
      <alignment horizontal="center" vertical="center" wrapText="1"/>
    </xf>
    <xf numFmtId="1" fontId="12" fillId="10" borderId="0" applyAlignment="1" pivotButton="0" quotePrefix="0" xfId="0">
      <alignment horizontal="center" vertical="center" wrapText="1"/>
    </xf>
    <xf numFmtId="164" fontId="12" fillId="10" borderId="0" applyAlignment="1" pivotButton="0" quotePrefix="0" xfId="0">
      <alignment horizontal="center" vertical="center" wrapText="1"/>
    </xf>
    <xf numFmtId="166" fontId="12" fillId="10" borderId="0" applyAlignment="1" pivotButton="0" quotePrefix="0" xfId="0">
      <alignment horizontal="center" vertical="center" wrapText="1"/>
    </xf>
    <xf numFmtId="0" fontId="25" fillId="15" borderId="0" applyAlignment="1" pivotButton="0" quotePrefix="0" xfId="0">
      <alignment horizontal="center" vertical="center" wrapText="1"/>
    </xf>
    <xf numFmtId="0" fontId="26" fillId="16" borderId="0" applyAlignment="1" pivotButton="0" quotePrefix="0" xfId="0">
      <alignment horizontal="center" vertical="center" wrapText="1"/>
    </xf>
    <xf numFmtId="0" fontId="27" fillId="17" borderId="0" applyAlignment="1" pivotButton="0" quotePrefix="0" xfId="0">
      <alignment horizontal="center" vertical="center" wrapText="1"/>
    </xf>
    <xf numFmtId="164" fontId="19" fillId="8" borderId="0" applyAlignment="1" pivotButton="0" quotePrefix="0" xfId="0">
      <alignment horizontal="center" vertical="center" wrapText="1"/>
    </xf>
    <xf numFmtId="167" fontId="19" fillId="8" borderId="0" applyAlignment="1" pivotButton="0" quotePrefix="0" xfId="0">
      <alignment horizontal="center" vertical="center" wrapText="1"/>
    </xf>
    <xf applyFill="1" numFmtId="0" fontId="6" fillId="21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left" vertical="center" wrapText="1"/>
    </xf>
    <xf numFmtId="164" fontId="3" fillId="9" borderId="0" applyAlignment="1" pivotButton="0" quotePrefix="0" xfId="0">
      <alignment horizontal="center" vertical="center" wrapText="1"/>
    </xf>
    <xf numFmtId="9" fontId="3" fillId="9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/>
    </xf>
    <xf numFmtId="0" fontId="23" fillId="4" borderId="0" pivotButton="0" quotePrefix="0" xfId="0"/>
    <xf numFmtId="0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12" fillId="10" borderId="0" applyAlignment="1" pivotButton="0" quotePrefix="0" xfId="0">
      <alignment horizontal="center" vertical="center" wrapText="1"/>
    </xf>
    <xf numFmtId="167" fontId="14" fillId="8" borderId="0" applyAlignment="1" pivotButton="0" quotePrefix="0" xfId="0">
      <alignment horizontal="center" vertical="center" wrapText="1"/>
    </xf>
    <xf numFmtId="166" fontId="14" fillId="8" borderId="0" applyAlignment="1" pivotButton="0" quotePrefix="0" xfId="0">
      <alignment horizontal="center" vertical="center" wrapText="1"/>
    </xf>
    <xf numFmtId="167" fontId="19" fillId="3" borderId="0" applyAlignment="1" pivotButton="0" quotePrefix="0" xfId="0">
      <alignment horizontal="center" vertical="center" wrapText="1"/>
    </xf>
    <xf numFmtId="166" fontId="19" fillId="3" borderId="0" applyAlignment="1" pivotButton="0" quotePrefix="0" xfId="0">
      <alignment horizontal="center" vertical="center" wrapText="1"/>
    </xf>
    <xf numFmtId="167" fontId="19" fillId="8" borderId="0" applyAlignment="1" pivotButton="0" quotePrefix="0" xfId="0">
      <alignment horizontal="center" vertical="center" wrapText="1"/>
    </xf>
    <xf numFmtId="167" fontId="22" fillId="8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  <xf numFmtId="0" fontId="28" fillId="22" borderId="0" xfId="0" applyNumberFormat="1" applyFont="1" applyFill="1" applyAlignment="1">
      <alignment horizontal="center" vertical="center"/>
    </xf>
    <xf numFmtId="164" fontId="28" fillId="23" borderId="0" xfId="0" applyNumberFormat="1" applyFont="1" applyFill="1" applyAlignment="1">
      <alignment horizontal="center" vertical="center"/>
    </xf>
    <xf numFmtId="164" fontId="28" fillId="24" borderId="0" xfId="0" applyNumberFormat="1" applyFont="1" applyFill="1" applyAlignment="1">
      <alignment horizontal="center" vertical="center"/>
    </xf>
    <xf numFmtId="167" fontId="28" fillId="25" borderId="0" xfId="0" applyNumberFormat="1" applyFont="1" applyFill="1" applyAlignment="1">
      <alignment horizontal="center" vertical="center"/>
    </xf>
    <xf numFmtId="164" fontId="28" fillId="23" borderId="0" xfId="0" applyNumberFormat="1" applyFont="1" applyFill="1" applyAlignment="1">
      <alignment horizontal="center" vertical="center"/>
    </xf>
    <xf numFmtId="166" fontId="28" fillId="24" borderId="0" xfId="0" applyNumberFormat="1" applyFont="1" applyFill="1" applyAlignment="1">
      <alignment horizontal="center" vertical="center"/>
    </xf>
    <xf numFmtId="167" fontId="28" fillId="2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5"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Margen neto por semana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Margen USD</v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Dashboard!$A$27:$A$35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</numCache>
            </numRef>
          </cat>
          <val>
            <numRef>
              <f>Dashboard!$F$27:$F$35</f>
              <numCache>
                <formatCode>\$#,##0</formatCode>
                <ptCount val="9"/>
                <pt idx="0">
                  <v>1952.009100000003</v>
                </pt>
                <pt idx="1">
                  <v>1631.9892</v>
                </pt>
                <pt idx="2">
                  <v>-4746.938299999998</v>
                </pt>
                <pt idx="3">
                  <v>2047.282200000001</v>
                </pt>
                <pt idx="4">
                  <v>1622.217600000002</v>
                </pt>
                <pt idx="5">
                  <v>1140.598900000001</v>
                </pt>
                <pt idx="6">
                  <v>3142.565100000005</v>
                </pt>
                <pt idx="7">
                  <v>6119.2484</v>
                </pt>
                <pt idx="8">
                  <v>422.844000000001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/>
              <a:t>Cobertura SAF por escenario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Cobertura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Dashboard!$H$27:$H$31</f>
              <strCache>
                <ptCount val="5"/>
                <pt idx="0">
                  <v>Base</v>
                </pt>
                <pt idx="1">
                  <v>Conservador</v>
                </pt>
                <pt idx="2">
                  <v>Optimista</v>
                </pt>
                <pt idx="3">
                  <v>Crisis B2B</v>
                </pt>
                <pt idx="4">
                  <v>Eficiencia Green</v>
                </pt>
              </strCache>
            </strRef>
          </cat>
          <val>
            <numRef>
              <f>Dashboard!$L$27:$L$31</f>
              <numCache>
                <formatCode>0.0%</formatCode>
                <ptCount val="5"/>
                <pt idx="0">
                  <v>1.101774884870002</v>
                </pt>
                <pt idx="1">
                  <v>0.7760781458223366</v>
                </pt>
                <pt idx="2">
                  <v>1.589613804781165</v>
                </pt>
                <pt idx="3">
                  <v>0.4856611585517673</v>
                </pt>
                <pt idx="4">
                  <v>1.202592241008513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49530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36</row>
      <rowOff>0</rowOff>
    </from>
    <ext cx="4953000" cy="2476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EscenariosInputs" displayName="TablaEscenariosInputs" ref="A1:F6" headerRowCount="1">
  <tableColumns count="6">
    <tableColumn id="1" name="Escenario"/>
    <tableColumn id="2" name="Factor demanda B2B"/>
    <tableColumn id="3" name="Precio premium USD"/>
    <tableColumn id="4" name="Eficiencia Green"/>
    <tableColumn id="5" name="Factor SAF"/>
    <tableColumn id="6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VuelosLatam" displayName="TablaVuelosLatam" ref="A1:R61" headerRowCount="1">
  <tableColumns count="18">
    <tableColumn id="1" name="Fecha"/>
    <tableColumn id="2" name="Semana"/>
    <tableColumn id="3" name="Mes"/>
    <tableColumn id="4" name="N° Vuelo"/>
    <tableColumn id="5" name="Ruta"/>
    <tableColumn id="6" name="Asientos Base B2B"/>
    <tableColumn id="7" name="Asientos Eco-Corp Dinámicos"/>
    <tableColumn id="8" name="Precio Premium Dinámico"/>
    <tableColumn id="9" name="Ingreso Premium USD"/>
    <tableColumn id="10" name="Litros SAF Base"/>
    <tableColumn id="11" name="Litros SAF Dinámicos"/>
    <tableColumn id="12" name="Sobrecosto SAF USD"/>
    <tableColumn id="13" name="APU Base Min"/>
    <tableColumn id="14" name="APU Dinámico Min"/>
    <tableColumn id="15" name="Adopción Protocolo Green"/>
    <tableColumn id="16" name="Margen Neto USD"/>
    <tableColumn id="17" name="Semáforo B2B"/>
    <tableColumn id="18" name="Minutos Retra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Semanas" displayName="TablaSemanas" ref="A1:G10" headerRowCount="1">
  <tableColumns count="7">
    <tableColumn id="1" name="Semana"/>
    <tableColumn id="2" name="Asientos Eco-Corp"/>
    <tableColumn id="3" name="Ingreso Premium"/>
    <tableColumn id="4" name="Sobrecosto SAF"/>
    <tableColumn id="5" name="Cobertura SAF"/>
    <tableColumn id="6" name="APU Promedio"/>
    <tableColumn id="7" name="Margen Ne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Escenarios" displayName="TablaEscenarios" ref="I1:N6" headerRowCount="1">
  <tableColumns count="6">
    <tableColumn id="1" name="Escenario"/>
    <tableColumn id="2" name="Asientos"/>
    <tableColumn id="3" name="Ingreso Premium"/>
    <tableColumn id="4" name="Sobrecosto SAF"/>
    <tableColumn id="5" name="Cobertura"/>
    <tableColumn id="6" name="Margen N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opLeftCell="F1" workbookViewId="0">
      <selection activeCell="A1" sqref="A1"/>
    </sheetView>
  </sheetViews>
  <sheetFormatPr baseColWidth="10" defaultColWidth="8.796875" defaultRowHeight="13.8"/>
  <cols>
    <col width="12.796875" customWidth="1" style="72" min="1" max="1"/>
    <col width="19.5" customWidth="1" style="72" min="2" max="3"/>
    <col width="15.69921875" customWidth="1" style="72" min="4" max="4"/>
    <col width="11.19921875" customWidth="1" style="72" min="5" max="5"/>
    <col width="57.59765625" customWidth="1" style="72" min="6" max="6"/>
    <col width="26.8984375" customWidth="1" style="72" min="8" max="8"/>
    <col width="83.59765625" customWidth="1" style="72" min="9" max="9"/>
  </cols>
  <sheetData>
    <row r="1">
      <c r="A1" s="1" t="inlineStr">
        <is>
          <t>Escenario</t>
        </is>
      </c>
      <c r="B1" s="1" t="inlineStr">
        <is>
          <t>Factor demanda B2B</t>
        </is>
      </c>
      <c r="C1" s="1" t="inlineStr">
        <is>
          <t>Precio premium USD</t>
        </is>
      </c>
      <c r="D1" s="1" t="inlineStr">
        <is>
          <t>Eficiencia Green</t>
        </is>
      </c>
      <c r="E1" s="1" t="inlineStr">
        <is>
          <t>Factor SAF</t>
        </is>
      </c>
      <c r="F1" s="1" t="inlineStr">
        <is>
          <t>Descripción</t>
        </is>
      </c>
      <c r="H1" s="1" t="inlineStr">
        <is>
          <t>Parámetro</t>
        </is>
      </c>
      <c r="I1" s="1" t="inlineStr">
        <is>
          <t>Valor</t>
        </is>
      </c>
    </row>
    <row r="2" ht="27.6" customHeight="1" s="72">
      <c r="A2" s="2" t="inlineStr">
        <is>
          <t>Base</t>
        </is>
      </c>
      <c r="B2" s="3" t="n">
        <v>1</v>
      </c>
      <c r="C2" s="4" t="n">
        <v>115</v>
      </c>
      <c r="D2" s="3" t="n">
        <v>0.12</v>
      </c>
      <c r="E2" s="5" t="n">
        <v>1</v>
      </c>
      <c r="F2" s="2" t="inlineStr">
        <is>
          <t>Piloto normal con adopción esperada y eficiencia operacional estándar.</t>
        </is>
      </c>
      <c r="H2" t="inlineStr">
        <is>
          <t>Ruta piloto</t>
        </is>
      </c>
      <c r="I2" t="inlineStr">
        <is>
          <t>Santiago - Miami</t>
        </is>
      </c>
    </row>
    <row r="3">
      <c r="A3" s="2" t="inlineStr">
        <is>
          <t>Conservador</t>
        </is>
      </c>
      <c r="B3" s="3" t="n">
        <v>0.82</v>
      </c>
      <c r="C3" s="4" t="n">
        <v>105</v>
      </c>
      <c r="D3" s="3" t="n">
        <v>0.06</v>
      </c>
      <c r="E3" s="5" t="n">
        <v>1.04</v>
      </c>
      <c r="F3" s="2" t="inlineStr">
        <is>
          <t>Menor adopción corporativa y menor reducción de APU.</t>
        </is>
      </c>
      <c r="H3" t="inlineStr">
        <is>
          <t>Precio Jet Fuel USD/L</t>
        </is>
      </c>
      <c r="I3" s="6" t="n">
        <v>0.85</v>
      </c>
    </row>
    <row r="4" ht="27.6" customHeight="1" s="72">
      <c r="A4" s="2" t="inlineStr">
        <is>
          <t>Optimista</t>
        </is>
      </c>
      <c r="B4" s="3" t="n">
        <v>1.22</v>
      </c>
      <c r="C4" s="4" t="n">
        <v>130</v>
      </c>
      <c r="D4" s="3" t="n">
        <v>0.16</v>
      </c>
      <c r="E4" s="5" t="n">
        <v>0.97</v>
      </c>
      <c r="F4" s="2" t="inlineStr">
        <is>
          <t>Mayor adopción B2B, mejor disposición a pagar y eficiencia operacional.</t>
        </is>
      </c>
      <c r="H4" t="inlineStr">
        <is>
          <t>Precio SAF USD/L</t>
        </is>
      </c>
      <c r="I4" s="6" t="n">
        <v>3.4</v>
      </c>
    </row>
    <row r="5" ht="27.6" customHeight="1" s="72">
      <c r="A5" s="2" t="inlineStr">
        <is>
          <t>Crisis B2B</t>
        </is>
      </c>
      <c r="B5" s="3" t="n">
        <v>0.58</v>
      </c>
      <c r="C5" s="4" t="n">
        <v>95</v>
      </c>
      <c r="D5" s="3" t="n">
        <v>0.05</v>
      </c>
      <c r="E5" s="5" t="n">
        <v>1.06</v>
      </c>
      <c r="F5" s="2" t="inlineStr">
        <is>
          <t>Semana crítica con caída de ventas corporativas y presión competitiva.</t>
        </is>
      </c>
      <c r="H5" t="inlineStr">
        <is>
          <t>Sobrecosto SAF USD/L</t>
        </is>
      </c>
      <c r="I5" s="6">
        <f>I4-I3</f>
        <v/>
      </c>
    </row>
    <row r="6" ht="27.6" customHeight="1" s="72">
      <c r="A6" s="2" t="inlineStr">
        <is>
          <t>Eficiencia Green</t>
        </is>
      </c>
      <c r="B6" s="3" t="n">
        <v>0.96</v>
      </c>
      <c r="C6" s="4" t="n">
        <v>115</v>
      </c>
      <c r="D6" s="3" t="n">
        <v>0.24</v>
      </c>
      <c r="E6" s="5" t="n">
        <v>0.92</v>
      </c>
      <c r="F6" s="2" t="inlineStr">
        <is>
          <t>Foco en eficiencia de combustible, menor APU y uso optimizado de SAF.</t>
        </is>
      </c>
      <c r="H6" t="inlineStr">
        <is>
          <t>Meta cobertura SAF</t>
        </is>
      </c>
      <c r="I6" s="7" t="n">
        <v>1</v>
      </c>
    </row>
    <row r="7">
      <c r="H7" t="inlineStr">
        <is>
          <t>Meta APU minutos</t>
        </is>
      </c>
      <c r="I7" t="n">
        <v>9</v>
      </c>
    </row>
    <row r="8">
      <c r="H8" t="inlineStr">
        <is>
          <t>Meta asientos Eco-Corp por vuelo</t>
        </is>
      </c>
      <c r="I8" t="n">
        <v>20</v>
      </c>
    </row>
    <row r="10" ht="27.6" customHeight="1" s="72">
      <c r="H10" s="2" t="inlineStr">
        <is>
          <t>Nota litros SAF</t>
        </is>
      </c>
      <c r="I10" s="2" t="inlineStr">
        <is>
          <t>Litros SAF Base representa solo el 15% obligatorio de SAF por vuelo, no el consumo total de combustible.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topLeftCell="H1" workbookViewId="0">
      <selection activeCell="A1" sqref="A1"/>
    </sheetView>
  </sheetViews>
  <sheetFormatPr baseColWidth="10" defaultColWidth="8.796875" defaultRowHeight="13.8"/>
  <cols>
    <col width="10.19921875" customWidth="1" style="72" min="1" max="1"/>
    <col width="9.09765625" customWidth="1" style="72" min="2" max="2"/>
    <col width="6.19921875" customWidth="1" style="72" min="3" max="3"/>
    <col width="9.69921875" customWidth="1" style="72" min="4" max="4"/>
    <col width="13.5" customWidth="1" style="72" min="5" max="5"/>
    <col width="17.59765625" customWidth="1" style="72" min="6" max="6"/>
    <col width="26.3984375" customWidth="1" style="72" min="7" max="7"/>
    <col width="23.796875" customWidth="1" style="72" min="8" max="8"/>
    <col width="20.5" customWidth="1" style="72" min="9" max="9"/>
    <col width="14.8984375" customWidth="1" style="72" min="10" max="10"/>
    <col width="19.5" customWidth="1" style="72" min="11" max="11"/>
    <col width="19.09765625" customWidth="1" style="72" min="12" max="12"/>
    <col width="14.09765625" customWidth="1" style="72" min="13" max="13"/>
    <col width="18" customWidth="1" style="72" min="14" max="14"/>
    <col width="22" customWidth="1" style="72" min="15" max="15"/>
    <col width="15" customWidth="1" style="72" min="16" max="16"/>
    <col width="16" customWidth="1" style="72" min="17" max="17"/>
    <col width="15" customWidth="1" style="72" min="18" max="18"/>
  </cols>
  <sheetData>
    <row r="1" ht="27.6" customHeight="1" s="72">
      <c r="A1" s="36" t="inlineStr">
        <is>
          <t>Fecha</t>
        </is>
      </c>
      <c r="B1" s="36" t="inlineStr">
        <is>
          <t>Semana</t>
        </is>
      </c>
      <c r="C1" s="36" t="inlineStr">
        <is>
          <t>Mes</t>
        </is>
      </c>
      <c r="D1" s="36" t="inlineStr">
        <is>
          <t>N° Vuelo</t>
        </is>
      </c>
      <c r="E1" s="36" t="inlineStr">
        <is>
          <t>Ruta</t>
        </is>
      </c>
      <c r="F1" s="36" t="inlineStr">
        <is>
          <t>Asientos Base B2B</t>
        </is>
      </c>
      <c r="G1" s="36" t="inlineStr">
        <is>
          <t>Asientos Eco-Corp Dinámicos</t>
        </is>
      </c>
      <c r="H1" s="36" t="inlineStr">
        <is>
          <t>Precio Premium Dinámico</t>
        </is>
      </c>
      <c r="I1" s="36" t="inlineStr">
        <is>
          <t>Ingreso Premium USD</t>
        </is>
      </c>
      <c r="J1" s="36" t="inlineStr">
        <is>
          <t>Litros SAF Base</t>
        </is>
      </c>
      <c r="K1" s="36" t="inlineStr">
        <is>
          <t>Litros SAF Dinámicos</t>
        </is>
      </c>
      <c r="L1" s="36" t="inlineStr">
        <is>
          <t>Sobrecosto SAF USD</t>
        </is>
      </c>
      <c r="M1" s="36" t="inlineStr">
        <is>
          <t>APU Base Min</t>
        </is>
      </c>
      <c r="N1" s="36" t="inlineStr">
        <is>
          <t>APU Dinámico Min</t>
        </is>
      </c>
      <c r="O1" s="36" t="inlineStr">
        <is>
          <t>Adopción Protocolo Green</t>
        </is>
      </c>
      <c r="P1" s="36" t="inlineStr">
        <is>
          <t>Margen Neto USD</t>
        </is>
      </c>
      <c r="Q1" s="36" t="inlineStr">
        <is>
          <t>Semáforo B2B</t>
        </is>
      </c>
      <c r="R1" s="36" t="inlineStr">
        <is>
          <t>Minutos Retraso</t>
        </is>
      </c>
    </row>
    <row r="2">
      <c r="A2" s="73" t="n">
        <v>46204</v>
      </c>
      <c r="B2" t="n">
        <v>1</v>
      </c>
      <c r="C2" t="inlineStr">
        <is>
          <t>Jul</t>
        </is>
      </c>
      <c r="D2" t="inlineStr">
        <is>
          <t>LA500</t>
        </is>
      </c>
      <c r="E2" t="inlineStr">
        <is>
          <t>Santiago - Miami</t>
        </is>
      </c>
      <c r="F2" t="n">
        <v>18</v>
      </c>
      <c r="G2">
        <f>MAX(0,ROUND(F2*Dashboard!$H$5,0))</f>
        <v/>
      </c>
      <c r="H2" s="8">
        <f>Dashboard!$F$5</f>
        <v/>
      </c>
      <c r="I2" s="8">
        <f>G2*H2</f>
        <v/>
      </c>
      <c r="J2" s="8" t="n">
        <v>843</v>
      </c>
      <c r="K2" s="8">
        <f>J2*Dashboard!$L$5*(1-Dashboard!$J$5*0.35)</f>
        <v/>
      </c>
      <c r="L2" s="8">
        <f>K2*Inputs!$I$5</f>
        <v/>
      </c>
      <c r="M2" t="n">
        <v>13.1</v>
      </c>
      <c r="N2" s="74">
        <f>M2*(1-Dashboard!$J$5)</f>
        <v/>
      </c>
      <c r="O2">
        <f>IF(N2&lt;=Inputs!$I$7,"Verde",IF(N2&lt;=Inputs!$I$7+2,"Amarillo","Rojo"))</f>
        <v/>
      </c>
      <c r="P2" s="8">
        <f>I2-L2</f>
        <v/>
      </c>
      <c r="Q2">
        <f>IF(G2&gt;=Inputs!$I$8,"Verde",IF(G2&gt;=Inputs!$I$8*0.85,"Amarillo","Rojo"))</f>
        <v/>
      </c>
      <c r="R2" t="n">
        <v>8</v>
      </c>
    </row>
    <row r="3">
      <c r="A3" s="73" t="n">
        <v>46205</v>
      </c>
      <c r="B3" t="n">
        <v>1</v>
      </c>
      <c r="C3" t="inlineStr">
        <is>
          <t>Jul</t>
        </is>
      </c>
      <c r="D3" t="inlineStr">
        <is>
          <t>LA501</t>
        </is>
      </c>
      <c r="E3" t="inlineStr">
        <is>
          <t>Santiago - Miami</t>
        </is>
      </c>
      <c r="F3" t="n">
        <v>18</v>
      </c>
      <c r="G3">
        <f>MAX(0,ROUND(F3*Dashboard!$H$5,0))</f>
        <v/>
      </c>
      <c r="H3" s="8">
        <f>Dashboard!$F$5</f>
        <v/>
      </c>
      <c r="I3" s="8">
        <f>G3*H3</f>
        <v/>
      </c>
      <c r="J3" s="8" t="n">
        <v>898</v>
      </c>
      <c r="K3" s="8">
        <f>J3*Dashboard!$L$5*(1-Dashboard!$J$5*0.35)</f>
        <v/>
      </c>
      <c r="L3" s="8">
        <f>K3*Inputs!$I$5</f>
        <v/>
      </c>
      <c r="M3" t="n">
        <v>13.1</v>
      </c>
      <c r="N3" s="74">
        <f>M3*(1-Dashboard!$J$5)</f>
        <v/>
      </c>
      <c r="O3">
        <f>IF(N3&lt;=Inputs!$I$7,"Verde",IF(N3&lt;=Inputs!$I$7+2,"Amarillo","Rojo"))</f>
        <v/>
      </c>
      <c r="P3" s="8">
        <f>I3-L3</f>
        <v/>
      </c>
      <c r="Q3">
        <f>IF(G3&gt;=Inputs!$I$8,"Verde",IF(G3&gt;=Inputs!$I$8*0.85,"Amarillo","Rojo"))</f>
        <v/>
      </c>
      <c r="R3" t="n">
        <v>11</v>
      </c>
    </row>
    <row r="4">
      <c r="A4" s="73" t="n">
        <v>46206</v>
      </c>
      <c r="B4" t="n">
        <v>1</v>
      </c>
      <c r="C4" t="inlineStr">
        <is>
          <t>Jul</t>
        </is>
      </c>
      <c r="D4" t="inlineStr">
        <is>
          <t>LA502</t>
        </is>
      </c>
      <c r="E4" t="inlineStr">
        <is>
          <t>Santiago - Miami</t>
        </is>
      </c>
      <c r="F4" t="n">
        <v>25</v>
      </c>
      <c r="G4">
        <f>MAX(0,ROUND(F4*Dashboard!$H$5,0))</f>
        <v/>
      </c>
      <c r="H4" s="8">
        <f>Dashboard!$F$5</f>
        <v/>
      </c>
      <c r="I4" s="8">
        <f>G4*H4</f>
        <v/>
      </c>
      <c r="J4" s="8" t="n">
        <v>852</v>
      </c>
      <c r="K4" s="8">
        <f>J4*Dashboard!$L$5*(1-Dashboard!$J$5*0.35)</f>
        <v/>
      </c>
      <c r="L4" s="8">
        <f>K4*Inputs!$I$5</f>
        <v/>
      </c>
      <c r="M4" t="n">
        <v>12.3</v>
      </c>
      <c r="N4" s="74">
        <f>M4*(1-Dashboard!$J$5)</f>
        <v/>
      </c>
      <c r="O4">
        <f>IF(N4&lt;=Inputs!$I$7,"Verde",IF(N4&lt;=Inputs!$I$7+2,"Amarillo","Rojo"))</f>
        <v/>
      </c>
      <c r="P4" s="8">
        <f>I4-L4</f>
        <v/>
      </c>
      <c r="Q4">
        <f>IF(G4&gt;=Inputs!$I$8,"Verde",IF(G4&gt;=Inputs!$I$8*0.85,"Amarillo","Rojo"))</f>
        <v/>
      </c>
      <c r="R4" t="n">
        <v>10</v>
      </c>
    </row>
    <row r="5">
      <c r="A5" s="73" t="n">
        <v>46207</v>
      </c>
      <c r="B5" t="n">
        <v>1</v>
      </c>
      <c r="C5" t="inlineStr">
        <is>
          <t>Jul</t>
        </is>
      </c>
      <c r="D5" t="inlineStr">
        <is>
          <t>LA503</t>
        </is>
      </c>
      <c r="E5" t="inlineStr">
        <is>
          <t>Santiago - Miami</t>
        </is>
      </c>
      <c r="F5" t="n">
        <v>20</v>
      </c>
      <c r="G5">
        <f>MAX(0,ROUND(F5*Dashboard!$H$5,0))</f>
        <v/>
      </c>
      <c r="H5" s="8">
        <f>Dashboard!$F$5</f>
        <v/>
      </c>
      <c r="I5" s="8">
        <f>G5*H5</f>
        <v/>
      </c>
      <c r="J5" s="8" t="n">
        <v>934</v>
      </c>
      <c r="K5" s="8">
        <f>J5*Dashboard!$L$5*(1-Dashboard!$J$5*0.35)</f>
        <v/>
      </c>
      <c r="L5" s="8">
        <f>K5*Inputs!$I$5</f>
        <v/>
      </c>
      <c r="M5" t="n">
        <v>12.4</v>
      </c>
      <c r="N5" s="74">
        <f>M5*(1-Dashboard!$J$5)</f>
        <v/>
      </c>
      <c r="O5">
        <f>IF(N5&lt;=Inputs!$I$7,"Verde",IF(N5&lt;=Inputs!$I$7+2,"Amarillo","Rojo"))</f>
        <v/>
      </c>
      <c r="P5" s="8">
        <f>I5-L5</f>
        <v/>
      </c>
      <c r="Q5">
        <f>IF(G5&gt;=Inputs!$I$8,"Verde",IF(G5&gt;=Inputs!$I$8*0.85,"Amarillo","Rojo"))</f>
        <v/>
      </c>
      <c r="R5" t="n">
        <v>8</v>
      </c>
    </row>
    <row r="6">
      <c r="A6" s="73" t="n">
        <v>46208</v>
      </c>
      <c r="B6" t="n">
        <v>1</v>
      </c>
      <c r="C6" t="inlineStr">
        <is>
          <t>Jul</t>
        </is>
      </c>
      <c r="D6" t="inlineStr">
        <is>
          <t>LA504</t>
        </is>
      </c>
      <c r="E6" t="inlineStr">
        <is>
          <t>Santiago - Miami</t>
        </is>
      </c>
      <c r="F6" t="n">
        <v>25</v>
      </c>
      <c r="G6">
        <f>MAX(0,ROUND(F6*Dashboard!$H$5,0))</f>
        <v/>
      </c>
      <c r="H6" s="8">
        <f>Dashboard!$F$5</f>
        <v/>
      </c>
      <c r="I6" s="8">
        <f>G6*H6</f>
        <v/>
      </c>
      <c r="J6" s="8" t="n">
        <v>898</v>
      </c>
      <c r="K6" s="8">
        <f>J6*Dashboard!$L$5*(1-Dashboard!$J$5*0.35)</f>
        <v/>
      </c>
      <c r="L6" s="8">
        <f>K6*Inputs!$I$5</f>
        <v/>
      </c>
      <c r="M6" t="n">
        <v>13</v>
      </c>
      <c r="N6" s="74">
        <f>M6*(1-Dashboard!$J$5)</f>
        <v/>
      </c>
      <c r="O6">
        <f>IF(N6&lt;=Inputs!$I$7,"Verde",IF(N6&lt;=Inputs!$I$7+2,"Amarillo","Rojo"))</f>
        <v/>
      </c>
      <c r="P6" s="8">
        <f>I6-L6</f>
        <v/>
      </c>
      <c r="Q6">
        <f>IF(G6&gt;=Inputs!$I$8,"Verde",IF(G6&gt;=Inputs!$I$8*0.85,"Amarillo","Rojo"))</f>
        <v/>
      </c>
      <c r="R6" t="n">
        <v>6</v>
      </c>
    </row>
    <row r="7">
      <c r="A7" s="73" t="n">
        <v>46209</v>
      </c>
      <c r="B7" t="n">
        <v>1</v>
      </c>
      <c r="C7" t="inlineStr">
        <is>
          <t>Jul</t>
        </is>
      </c>
      <c r="D7" t="inlineStr">
        <is>
          <t>LA505</t>
        </is>
      </c>
      <c r="E7" t="inlineStr">
        <is>
          <t>Santiago - Miami</t>
        </is>
      </c>
      <c r="F7" t="n">
        <v>24</v>
      </c>
      <c r="G7">
        <f>MAX(0,ROUND(F7*Dashboard!$H$5,0))</f>
        <v/>
      </c>
      <c r="H7" s="8">
        <f>Dashboard!$F$5</f>
        <v/>
      </c>
      <c r="I7" s="8">
        <f>G7*H7</f>
        <v/>
      </c>
      <c r="J7" s="8" t="n">
        <v>857</v>
      </c>
      <c r="K7" s="8">
        <f>J7*Dashboard!$L$5*(1-Dashboard!$J$5*0.35)</f>
        <v/>
      </c>
      <c r="L7" s="8">
        <f>K7*Inputs!$I$5</f>
        <v/>
      </c>
      <c r="M7" t="n">
        <v>10.7</v>
      </c>
      <c r="N7" s="74">
        <f>M7*(1-Dashboard!$J$5)</f>
        <v/>
      </c>
      <c r="O7">
        <f>IF(N7&lt;=Inputs!$I$7,"Verde",IF(N7&lt;=Inputs!$I$7+2,"Amarillo","Rojo"))</f>
        <v/>
      </c>
      <c r="P7" s="8">
        <f>I7-L7</f>
        <v/>
      </c>
      <c r="Q7">
        <f>IF(G7&gt;=Inputs!$I$8,"Verde",IF(G7&gt;=Inputs!$I$8*0.85,"Amarillo","Rojo"))</f>
        <v/>
      </c>
      <c r="R7" t="n">
        <v>2</v>
      </c>
    </row>
    <row r="8">
      <c r="A8" s="73" t="n">
        <v>46210</v>
      </c>
      <c r="B8" t="n">
        <v>1</v>
      </c>
      <c r="C8" t="inlineStr">
        <is>
          <t>Jul</t>
        </is>
      </c>
      <c r="D8" t="inlineStr">
        <is>
          <t>LA506</t>
        </is>
      </c>
      <c r="E8" t="inlineStr">
        <is>
          <t>Santiago - Miami</t>
        </is>
      </c>
      <c r="F8" t="n">
        <v>17</v>
      </c>
      <c r="G8">
        <f>MAX(0,ROUND(F8*Dashboard!$H$5,0))</f>
        <v/>
      </c>
      <c r="H8" s="8">
        <f>Dashboard!$F$5</f>
        <v/>
      </c>
      <c r="I8" s="8">
        <f>G8*H8</f>
        <v/>
      </c>
      <c r="J8" s="8" t="n">
        <v>839</v>
      </c>
      <c r="K8" s="8">
        <f>J8*Dashboard!$L$5*(1-Dashboard!$J$5*0.35)</f>
        <v/>
      </c>
      <c r="L8" s="8">
        <f>K8*Inputs!$I$5</f>
        <v/>
      </c>
      <c r="M8" t="n">
        <v>13.5</v>
      </c>
      <c r="N8" s="74">
        <f>M8*(1-Dashboard!$J$5)</f>
        <v/>
      </c>
      <c r="O8">
        <f>IF(N8&lt;=Inputs!$I$7,"Verde",IF(N8&lt;=Inputs!$I$7+2,"Amarillo","Rojo"))</f>
        <v/>
      </c>
      <c r="P8" s="8">
        <f>I8-L8</f>
        <v/>
      </c>
      <c r="Q8">
        <f>IF(G8&gt;=Inputs!$I$8,"Verde",IF(G8&gt;=Inputs!$I$8*0.85,"Amarillo","Rojo"))</f>
        <v/>
      </c>
      <c r="R8" t="n">
        <v>6</v>
      </c>
    </row>
    <row r="9">
      <c r="A9" s="73" t="n">
        <v>46211</v>
      </c>
      <c r="B9" t="n">
        <v>2</v>
      </c>
      <c r="C9" t="inlineStr">
        <is>
          <t>Jul</t>
        </is>
      </c>
      <c r="D9" t="inlineStr">
        <is>
          <t>LA500</t>
        </is>
      </c>
      <c r="E9" t="inlineStr">
        <is>
          <t>Santiago - Miami</t>
        </is>
      </c>
      <c r="F9" t="n">
        <v>19</v>
      </c>
      <c r="G9">
        <f>MAX(0,ROUND(F9*Dashboard!$H$5,0))</f>
        <v/>
      </c>
      <c r="H9" s="8">
        <f>Dashboard!$F$5</f>
        <v/>
      </c>
      <c r="I9" s="8">
        <f>G9*H9</f>
        <v/>
      </c>
      <c r="J9" s="8" t="n">
        <v>927</v>
      </c>
      <c r="K9" s="8">
        <f>J9*Dashboard!$L$5*(1-Dashboard!$J$5*0.35)</f>
        <v/>
      </c>
      <c r="L9" s="8">
        <f>K9*Inputs!$I$5</f>
        <v/>
      </c>
      <c r="M9" t="n">
        <v>14.3</v>
      </c>
      <c r="N9" s="74">
        <f>M9*(1-Dashboard!$J$5)</f>
        <v/>
      </c>
      <c r="O9">
        <f>IF(N9&lt;=Inputs!$I$7,"Verde",IF(N9&lt;=Inputs!$I$7+2,"Amarillo","Rojo"))</f>
        <v/>
      </c>
      <c r="P9" s="8">
        <f>I9-L9</f>
        <v/>
      </c>
      <c r="Q9">
        <f>IF(G9&gt;=Inputs!$I$8,"Verde",IF(G9&gt;=Inputs!$I$8*0.85,"Amarillo","Rojo"))</f>
        <v/>
      </c>
      <c r="R9" t="n">
        <v>2</v>
      </c>
    </row>
    <row r="10">
      <c r="A10" s="73" t="n">
        <v>46212</v>
      </c>
      <c r="B10" t="n">
        <v>2</v>
      </c>
      <c r="C10" t="inlineStr">
        <is>
          <t>Jul</t>
        </is>
      </c>
      <c r="D10" t="inlineStr">
        <is>
          <t>LA501</t>
        </is>
      </c>
      <c r="E10" t="inlineStr">
        <is>
          <t>Santiago - Miami</t>
        </is>
      </c>
      <c r="F10" t="n">
        <v>22</v>
      </c>
      <c r="G10">
        <f>MAX(0,ROUND(F10*Dashboard!$H$5,0))</f>
        <v/>
      </c>
      <c r="H10" s="8">
        <f>Dashboard!$F$5</f>
        <v/>
      </c>
      <c r="I10" s="8">
        <f>G10*H10</f>
        <v/>
      </c>
      <c r="J10" s="8" t="n">
        <v>915</v>
      </c>
      <c r="K10" s="8">
        <f>J10*Dashboard!$L$5*(1-Dashboard!$J$5*0.35)</f>
        <v/>
      </c>
      <c r="L10" s="8">
        <f>K10*Inputs!$I$5</f>
        <v/>
      </c>
      <c r="M10" t="n">
        <v>9.699999999999999</v>
      </c>
      <c r="N10" s="74">
        <f>M10*(1-Dashboard!$J$5)</f>
        <v/>
      </c>
      <c r="O10">
        <f>IF(N10&lt;=Inputs!$I$7,"Verde",IF(N10&lt;=Inputs!$I$7+2,"Amarillo","Rojo"))</f>
        <v/>
      </c>
      <c r="P10" s="8">
        <f>I10-L10</f>
        <v/>
      </c>
      <c r="Q10">
        <f>IF(G10&gt;=Inputs!$I$8,"Verde",IF(G10&gt;=Inputs!$I$8*0.85,"Amarillo","Rojo"))</f>
        <v/>
      </c>
      <c r="R10" t="n">
        <v>17</v>
      </c>
    </row>
    <row r="11">
      <c r="A11" s="73" t="n">
        <v>46213</v>
      </c>
      <c r="B11" t="n">
        <v>2</v>
      </c>
      <c r="C11" t="inlineStr">
        <is>
          <t>Jul</t>
        </is>
      </c>
      <c r="D11" t="inlineStr">
        <is>
          <t>LA502</t>
        </is>
      </c>
      <c r="E11" t="inlineStr">
        <is>
          <t>Santiago - Miami</t>
        </is>
      </c>
      <c r="F11" t="n">
        <v>21</v>
      </c>
      <c r="G11">
        <f>MAX(0,ROUND(F11*Dashboard!$H$5,0))</f>
        <v/>
      </c>
      <c r="H11" s="8">
        <f>Dashboard!$F$5</f>
        <v/>
      </c>
      <c r="I11" s="8">
        <f>G11*H11</f>
        <v/>
      </c>
      <c r="J11" s="8" t="n">
        <v>917</v>
      </c>
      <c r="K11" s="8">
        <f>J11*Dashboard!$L$5*(1-Dashboard!$J$5*0.35)</f>
        <v/>
      </c>
      <c r="L11" s="8">
        <f>K11*Inputs!$I$5</f>
        <v/>
      </c>
      <c r="M11" t="n">
        <v>13.1</v>
      </c>
      <c r="N11" s="74">
        <f>M11*(1-Dashboard!$J$5)</f>
        <v/>
      </c>
      <c r="O11">
        <f>IF(N11&lt;=Inputs!$I$7,"Verde",IF(N11&lt;=Inputs!$I$7+2,"Amarillo","Rojo"))</f>
        <v/>
      </c>
      <c r="P11" s="8">
        <f>I11-L11</f>
        <v/>
      </c>
      <c r="Q11">
        <f>IF(G11&gt;=Inputs!$I$8,"Verde",IF(G11&gt;=Inputs!$I$8*0.85,"Amarillo","Rojo"))</f>
        <v/>
      </c>
      <c r="R11" t="n">
        <v>14</v>
      </c>
    </row>
    <row r="12">
      <c r="A12" s="73" t="n">
        <v>46214</v>
      </c>
      <c r="B12" t="n">
        <v>2</v>
      </c>
      <c r="C12" t="inlineStr">
        <is>
          <t>Jul</t>
        </is>
      </c>
      <c r="D12" t="inlineStr">
        <is>
          <t>LA503</t>
        </is>
      </c>
      <c r="E12" t="inlineStr">
        <is>
          <t>Santiago - Miami</t>
        </is>
      </c>
      <c r="F12" t="n">
        <v>25</v>
      </c>
      <c r="G12">
        <f>MAX(0,ROUND(F12*Dashboard!$H$5,0))</f>
        <v/>
      </c>
      <c r="H12" s="8">
        <f>Dashboard!$F$5</f>
        <v/>
      </c>
      <c r="I12" s="8">
        <f>G12*H12</f>
        <v/>
      </c>
      <c r="J12" s="8" t="n">
        <v>843</v>
      </c>
      <c r="K12" s="8">
        <f>J12*Dashboard!$L$5*(1-Dashboard!$J$5*0.35)</f>
        <v/>
      </c>
      <c r="L12" s="8">
        <f>K12*Inputs!$I$5</f>
        <v/>
      </c>
      <c r="M12" t="n">
        <v>14.4</v>
      </c>
      <c r="N12" s="74">
        <f>M12*(1-Dashboard!$J$5)</f>
        <v/>
      </c>
      <c r="O12">
        <f>IF(N12&lt;=Inputs!$I$7,"Verde",IF(N12&lt;=Inputs!$I$7+2,"Amarillo","Rojo"))</f>
        <v/>
      </c>
      <c r="P12" s="8">
        <f>I12-L12</f>
        <v/>
      </c>
      <c r="Q12">
        <f>IF(G12&gt;=Inputs!$I$8,"Verde",IF(G12&gt;=Inputs!$I$8*0.85,"Amarillo","Rojo"))</f>
        <v/>
      </c>
      <c r="R12" t="n">
        <v>2</v>
      </c>
    </row>
    <row r="13">
      <c r="A13" s="73" t="n">
        <v>46215</v>
      </c>
      <c r="B13" t="n">
        <v>2</v>
      </c>
      <c r="C13" t="inlineStr">
        <is>
          <t>Jul</t>
        </is>
      </c>
      <c r="D13" t="inlineStr">
        <is>
          <t>LA504</t>
        </is>
      </c>
      <c r="E13" t="inlineStr">
        <is>
          <t>Santiago - Miami</t>
        </is>
      </c>
      <c r="F13" t="n">
        <v>22</v>
      </c>
      <c r="G13">
        <f>MAX(0,ROUND(F13*Dashboard!$H$5,0))</f>
        <v/>
      </c>
      <c r="H13" s="8">
        <f>Dashboard!$F$5</f>
        <v/>
      </c>
      <c r="I13" s="8">
        <f>G13*H13</f>
        <v/>
      </c>
      <c r="J13" s="8" t="n">
        <v>870</v>
      </c>
      <c r="K13" s="8">
        <f>J13*Dashboard!$L$5*(1-Dashboard!$J$5*0.35)</f>
        <v/>
      </c>
      <c r="L13" s="8">
        <f>K13*Inputs!$I$5</f>
        <v/>
      </c>
      <c r="M13" t="n">
        <v>10.2</v>
      </c>
      <c r="N13" s="74">
        <f>M13*(1-Dashboard!$J$5)</f>
        <v/>
      </c>
      <c r="O13">
        <f>IF(N13&lt;=Inputs!$I$7,"Verde",IF(N13&lt;=Inputs!$I$7+2,"Amarillo","Rojo"))</f>
        <v/>
      </c>
      <c r="P13" s="8">
        <f>I13-L13</f>
        <v/>
      </c>
      <c r="Q13">
        <f>IF(G13&gt;=Inputs!$I$8,"Verde",IF(G13&gt;=Inputs!$I$8*0.85,"Amarillo","Rojo"))</f>
        <v/>
      </c>
      <c r="R13" t="n">
        <v>13</v>
      </c>
    </row>
    <row r="14">
      <c r="A14" s="73" t="n">
        <v>46216</v>
      </c>
      <c r="B14" t="n">
        <v>2</v>
      </c>
      <c r="C14" t="inlineStr">
        <is>
          <t>Jul</t>
        </is>
      </c>
      <c r="D14" t="inlineStr">
        <is>
          <t>LA505</t>
        </is>
      </c>
      <c r="E14" t="inlineStr">
        <is>
          <t>Santiago - Miami</t>
        </is>
      </c>
      <c r="F14" t="n">
        <v>18</v>
      </c>
      <c r="G14">
        <f>MAX(0,ROUND(F14*Dashboard!$H$5,0))</f>
        <v/>
      </c>
      <c r="H14" s="8">
        <f>Dashboard!$F$5</f>
        <v/>
      </c>
      <c r="I14" s="8">
        <f>G14*H14</f>
        <v/>
      </c>
      <c r="J14" s="8" t="n">
        <v>864</v>
      </c>
      <c r="K14" s="8">
        <f>J14*Dashboard!$L$5*(1-Dashboard!$J$5*0.35)</f>
        <v/>
      </c>
      <c r="L14" s="8">
        <f>K14*Inputs!$I$5</f>
        <v/>
      </c>
      <c r="M14" t="n">
        <v>12.7</v>
      </c>
      <c r="N14" s="74">
        <f>M14*(1-Dashboard!$J$5)</f>
        <v/>
      </c>
      <c r="O14">
        <f>IF(N14&lt;=Inputs!$I$7,"Verde",IF(N14&lt;=Inputs!$I$7+2,"Amarillo","Rojo"))</f>
        <v/>
      </c>
      <c r="P14" s="8">
        <f>I14-L14</f>
        <v/>
      </c>
      <c r="Q14">
        <f>IF(G14&gt;=Inputs!$I$8,"Verde",IF(G14&gt;=Inputs!$I$8*0.85,"Amarillo","Rojo"))</f>
        <v/>
      </c>
      <c r="R14" t="n">
        <v>10</v>
      </c>
    </row>
    <row r="15">
      <c r="A15" s="73" t="n">
        <v>46217</v>
      </c>
      <c r="B15" t="n">
        <v>2</v>
      </c>
      <c r="C15" t="inlineStr">
        <is>
          <t>Jul</t>
        </is>
      </c>
      <c r="D15" t="inlineStr">
        <is>
          <t>LA506</t>
        </is>
      </c>
      <c r="E15" t="inlineStr">
        <is>
          <t>Santiago - Miami</t>
        </is>
      </c>
      <c r="F15" t="n">
        <v>20</v>
      </c>
      <c r="G15">
        <f>MAX(0,ROUND(F15*Dashboard!$H$5,0))</f>
        <v/>
      </c>
      <c r="H15" s="8">
        <f>Dashboard!$F$5</f>
        <v/>
      </c>
      <c r="I15" s="8">
        <f>G15*H15</f>
        <v/>
      </c>
      <c r="J15" s="8" t="n">
        <v>916</v>
      </c>
      <c r="K15" s="8">
        <f>J15*Dashboard!$L$5*(1-Dashboard!$J$5*0.35)</f>
        <v/>
      </c>
      <c r="L15" s="8">
        <f>K15*Inputs!$I$5</f>
        <v/>
      </c>
      <c r="M15" t="n">
        <v>11.2</v>
      </c>
      <c r="N15" s="74">
        <f>M15*(1-Dashboard!$J$5)</f>
        <v/>
      </c>
      <c r="O15">
        <f>IF(N15&lt;=Inputs!$I$7,"Verde",IF(N15&lt;=Inputs!$I$7+2,"Amarillo","Rojo"))</f>
        <v/>
      </c>
      <c r="P15" s="8">
        <f>I15-L15</f>
        <v/>
      </c>
      <c r="Q15">
        <f>IF(G15&gt;=Inputs!$I$8,"Verde",IF(G15&gt;=Inputs!$I$8*0.85,"Amarillo","Rojo"))</f>
        <v/>
      </c>
      <c r="R15" t="n">
        <v>0</v>
      </c>
    </row>
    <row r="16">
      <c r="A16" s="73" t="n">
        <v>46218</v>
      </c>
      <c r="B16" t="n">
        <v>3</v>
      </c>
      <c r="C16" t="inlineStr">
        <is>
          <t>Jul</t>
        </is>
      </c>
      <c r="D16" t="inlineStr">
        <is>
          <t>LA500</t>
        </is>
      </c>
      <c r="E16" t="inlineStr">
        <is>
          <t>Santiago - Miami</t>
        </is>
      </c>
      <c r="F16" t="n">
        <v>16</v>
      </c>
      <c r="G16">
        <f>MAX(0,ROUND(F16*Dashboard!$H$5,0))</f>
        <v/>
      </c>
      <c r="H16" s="8">
        <f>Dashboard!$F$5</f>
        <v/>
      </c>
      <c r="I16" s="8">
        <f>G16*H16</f>
        <v/>
      </c>
      <c r="J16" s="8" t="n">
        <v>915</v>
      </c>
      <c r="K16" s="8">
        <f>J16*Dashboard!$L$5*(1-Dashboard!$J$5*0.35)</f>
        <v/>
      </c>
      <c r="L16" s="8">
        <f>K16*Inputs!$I$5</f>
        <v/>
      </c>
      <c r="M16" t="n">
        <v>10.1</v>
      </c>
      <c r="N16" s="74">
        <f>M16*(1-Dashboard!$J$5)</f>
        <v/>
      </c>
      <c r="O16">
        <f>IF(N16&lt;=Inputs!$I$7,"Verde",IF(N16&lt;=Inputs!$I$7+2,"Amarillo","Rojo"))</f>
        <v/>
      </c>
      <c r="P16" s="8">
        <f>I16-L16</f>
        <v/>
      </c>
      <c r="Q16">
        <f>IF(G16&gt;=Inputs!$I$8,"Verde",IF(G16&gt;=Inputs!$I$8*0.85,"Amarillo","Rojo"))</f>
        <v/>
      </c>
      <c r="R16" t="n">
        <v>2</v>
      </c>
    </row>
    <row r="17">
      <c r="A17" s="73" t="n">
        <v>46219</v>
      </c>
      <c r="B17" t="n">
        <v>3</v>
      </c>
      <c r="C17" t="inlineStr">
        <is>
          <t>Jul</t>
        </is>
      </c>
      <c r="D17" t="inlineStr">
        <is>
          <t>LA501</t>
        </is>
      </c>
      <c r="E17" t="inlineStr">
        <is>
          <t>Santiago - Miami</t>
        </is>
      </c>
      <c r="F17" t="n">
        <v>15</v>
      </c>
      <c r="G17">
        <f>MAX(0,ROUND(F17*Dashboard!$H$5,0))</f>
        <v/>
      </c>
      <c r="H17" s="8">
        <f>Dashboard!$F$5</f>
        <v/>
      </c>
      <c r="I17" s="8">
        <f>G17*H17</f>
        <v/>
      </c>
      <c r="J17" s="8" t="n">
        <v>892</v>
      </c>
      <c r="K17" s="8">
        <f>J17*Dashboard!$L$5*(1-Dashboard!$J$5*0.35)</f>
        <v/>
      </c>
      <c r="L17" s="8">
        <f>K17*Inputs!$I$5</f>
        <v/>
      </c>
      <c r="M17" t="n">
        <v>10.1</v>
      </c>
      <c r="N17" s="74">
        <f>M17*(1-Dashboard!$J$5)</f>
        <v/>
      </c>
      <c r="O17">
        <f>IF(N17&lt;=Inputs!$I$7,"Verde",IF(N17&lt;=Inputs!$I$7+2,"Amarillo","Rojo"))</f>
        <v/>
      </c>
      <c r="P17" s="8">
        <f>I17-L17</f>
        <v/>
      </c>
      <c r="Q17">
        <f>IF(G17&gt;=Inputs!$I$8,"Verde",IF(G17&gt;=Inputs!$I$8*0.85,"Amarillo","Rojo"))</f>
        <v/>
      </c>
      <c r="R17" t="n">
        <v>15</v>
      </c>
    </row>
    <row r="18">
      <c r="A18" s="73" t="n">
        <v>46220</v>
      </c>
      <c r="B18" t="n">
        <v>3</v>
      </c>
      <c r="C18" t="inlineStr">
        <is>
          <t>Jul</t>
        </is>
      </c>
      <c r="D18" t="inlineStr">
        <is>
          <t>LA502</t>
        </is>
      </c>
      <c r="E18" t="inlineStr">
        <is>
          <t>Santiago - Miami</t>
        </is>
      </c>
      <c r="F18" t="n">
        <v>12</v>
      </c>
      <c r="G18">
        <f>MAX(0,ROUND(F18*Dashboard!$H$5,0))</f>
        <v/>
      </c>
      <c r="H18" s="8">
        <f>Dashboard!$F$5</f>
        <v/>
      </c>
      <c r="I18" s="8">
        <f>G18*H18</f>
        <v/>
      </c>
      <c r="J18" s="8" t="n">
        <v>871</v>
      </c>
      <c r="K18" s="8">
        <f>J18*Dashboard!$L$5*(1-Dashboard!$J$5*0.35)</f>
        <v/>
      </c>
      <c r="L18" s="8">
        <f>K18*Inputs!$I$5</f>
        <v/>
      </c>
      <c r="M18" t="n">
        <v>11.2</v>
      </c>
      <c r="N18" s="74">
        <f>M18*(1-Dashboard!$J$5)</f>
        <v/>
      </c>
      <c r="O18">
        <f>IF(N18&lt;=Inputs!$I$7,"Verde",IF(N18&lt;=Inputs!$I$7+2,"Amarillo","Rojo"))</f>
        <v/>
      </c>
      <c r="P18" s="8">
        <f>I18-L18</f>
        <v/>
      </c>
      <c r="Q18">
        <f>IF(G18&gt;=Inputs!$I$8,"Verde",IF(G18&gt;=Inputs!$I$8*0.85,"Amarillo","Rojo"))</f>
        <v/>
      </c>
      <c r="R18" t="n">
        <v>16</v>
      </c>
    </row>
    <row r="19">
      <c r="A19" s="73" t="n">
        <v>46221</v>
      </c>
      <c r="B19" t="n">
        <v>3</v>
      </c>
      <c r="C19" t="inlineStr">
        <is>
          <t>Jul</t>
        </is>
      </c>
      <c r="D19" t="inlineStr">
        <is>
          <t>LA503</t>
        </is>
      </c>
      <c r="E19" t="inlineStr">
        <is>
          <t>Santiago - Miami</t>
        </is>
      </c>
      <c r="F19" t="n">
        <v>12</v>
      </c>
      <c r="G19">
        <f>MAX(0,ROUND(F19*Dashboard!$H$5,0))</f>
        <v/>
      </c>
      <c r="H19" s="8">
        <f>Dashboard!$F$5</f>
        <v/>
      </c>
      <c r="I19" s="8">
        <f>G19*H19</f>
        <v/>
      </c>
      <c r="J19" s="8" t="n">
        <v>830</v>
      </c>
      <c r="K19" s="8">
        <f>J19*Dashboard!$L$5*(1-Dashboard!$J$5*0.35)</f>
        <v/>
      </c>
      <c r="L19" s="8">
        <f>K19*Inputs!$I$5</f>
        <v/>
      </c>
      <c r="M19" t="n">
        <v>10.9</v>
      </c>
      <c r="N19" s="74">
        <f>M19*(1-Dashboard!$J$5)</f>
        <v/>
      </c>
      <c r="O19">
        <f>IF(N19&lt;=Inputs!$I$7,"Verde",IF(N19&lt;=Inputs!$I$7+2,"Amarillo","Rojo"))</f>
        <v/>
      </c>
      <c r="P19" s="8">
        <f>I19-L19</f>
        <v/>
      </c>
      <c r="Q19">
        <f>IF(G19&gt;=Inputs!$I$8,"Verde",IF(G19&gt;=Inputs!$I$8*0.85,"Amarillo","Rojo"))</f>
        <v/>
      </c>
      <c r="R19" t="n">
        <v>7</v>
      </c>
    </row>
    <row r="20">
      <c r="A20" s="73" t="n">
        <v>46222</v>
      </c>
      <c r="B20" t="n">
        <v>3</v>
      </c>
      <c r="C20" t="inlineStr">
        <is>
          <t>Jul</t>
        </is>
      </c>
      <c r="D20" t="inlineStr">
        <is>
          <t>LA504</t>
        </is>
      </c>
      <c r="E20" t="inlineStr">
        <is>
          <t>Santiago - Miami</t>
        </is>
      </c>
      <c r="F20" t="n">
        <v>12</v>
      </c>
      <c r="G20">
        <f>MAX(0,ROUND(F20*Dashboard!$H$5,0))</f>
        <v/>
      </c>
      <c r="H20" s="8">
        <f>Dashboard!$F$5</f>
        <v/>
      </c>
      <c r="I20" s="8">
        <f>G20*H20</f>
        <v/>
      </c>
      <c r="J20" s="8" t="n">
        <v>941</v>
      </c>
      <c r="K20" s="8">
        <f>J20*Dashboard!$L$5*(1-Dashboard!$J$5*0.35)</f>
        <v/>
      </c>
      <c r="L20" s="8">
        <f>K20*Inputs!$I$5</f>
        <v/>
      </c>
      <c r="M20" t="n">
        <v>13.5</v>
      </c>
      <c r="N20" s="74">
        <f>M20*(1-Dashboard!$J$5)</f>
        <v/>
      </c>
      <c r="O20">
        <f>IF(N20&lt;=Inputs!$I$7,"Verde",IF(N20&lt;=Inputs!$I$7+2,"Amarillo","Rojo"))</f>
        <v/>
      </c>
      <c r="P20" s="8">
        <f>I20-L20</f>
        <v/>
      </c>
      <c r="Q20">
        <f>IF(G20&gt;=Inputs!$I$8,"Verde",IF(G20&gt;=Inputs!$I$8*0.85,"Amarillo","Rojo"))</f>
        <v/>
      </c>
      <c r="R20" t="n">
        <v>6</v>
      </c>
    </row>
    <row r="21">
      <c r="A21" s="73" t="n">
        <v>46223</v>
      </c>
      <c r="B21" t="n">
        <v>3</v>
      </c>
      <c r="C21" t="inlineStr">
        <is>
          <t>Jul</t>
        </is>
      </c>
      <c r="D21" t="inlineStr">
        <is>
          <t>LA505</t>
        </is>
      </c>
      <c r="E21" t="inlineStr">
        <is>
          <t>Santiago - Miami</t>
        </is>
      </c>
      <c r="F21" t="n">
        <v>12</v>
      </c>
      <c r="G21">
        <f>MAX(0,ROUND(F21*Dashboard!$H$5,0))</f>
        <v/>
      </c>
      <c r="H21" s="8">
        <f>Dashboard!$F$5</f>
        <v/>
      </c>
      <c r="I21" s="8">
        <f>G21*H21</f>
        <v/>
      </c>
      <c r="J21" s="8" t="n">
        <v>852</v>
      </c>
      <c r="K21" s="8">
        <f>J21*Dashboard!$L$5*(1-Dashboard!$J$5*0.35)</f>
        <v/>
      </c>
      <c r="L21" s="8">
        <f>K21*Inputs!$I$5</f>
        <v/>
      </c>
      <c r="M21" t="n">
        <v>11.8</v>
      </c>
      <c r="N21" s="74">
        <f>M21*(1-Dashboard!$J$5)</f>
        <v/>
      </c>
      <c r="O21">
        <f>IF(N21&lt;=Inputs!$I$7,"Verde",IF(N21&lt;=Inputs!$I$7+2,"Amarillo","Rojo"))</f>
        <v/>
      </c>
      <c r="P21" s="8">
        <f>I21-L21</f>
        <v/>
      </c>
      <c r="Q21">
        <f>IF(G21&gt;=Inputs!$I$8,"Verde",IF(G21&gt;=Inputs!$I$8*0.85,"Amarillo","Rojo"))</f>
        <v/>
      </c>
      <c r="R21" t="n">
        <v>9</v>
      </c>
    </row>
    <row r="22">
      <c r="A22" s="73" t="n">
        <v>46224</v>
      </c>
      <c r="B22" t="n">
        <v>3</v>
      </c>
      <c r="C22" t="inlineStr">
        <is>
          <t>Jul</t>
        </is>
      </c>
      <c r="D22" t="inlineStr">
        <is>
          <t>LA506</t>
        </is>
      </c>
      <c r="E22" t="inlineStr">
        <is>
          <t>Santiago - Miami</t>
        </is>
      </c>
      <c r="F22" t="n">
        <v>12</v>
      </c>
      <c r="G22">
        <f>MAX(0,ROUND(F22*Dashboard!$H$5,0))</f>
        <v/>
      </c>
      <c r="H22" s="8">
        <f>Dashboard!$F$5</f>
        <v/>
      </c>
      <c r="I22" s="8">
        <f>G22*H22</f>
        <v/>
      </c>
      <c r="J22" s="8" t="n">
        <v>926</v>
      </c>
      <c r="K22" s="8">
        <f>J22*Dashboard!$L$5*(1-Dashboard!$J$5*0.35)</f>
        <v/>
      </c>
      <c r="L22" s="8">
        <f>K22*Inputs!$I$5</f>
        <v/>
      </c>
      <c r="M22" t="n">
        <v>9.9</v>
      </c>
      <c r="N22" s="74">
        <f>M22*(1-Dashboard!$J$5)</f>
        <v/>
      </c>
      <c r="O22">
        <f>IF(N22&lt;=Inputs!$I$7,"Verde",IF(N22&lt;=Inputs!$I$7+2,"Amarillo","Rojo"))</f>
        <v/>
      </c>
      <c r="P22" s="8">
        <f>I22-L22</f>
        <v/>
      </c>
      <c r="Q22">
        <f>IF(G22&gt;=Inputs!$I$8,"Verde",IF(G22&gt;=Inputs!$I$8*0.85,"Amarillo","Rojo"))</f>
        <v/>
      </c>
      <c r="R22" t="n">
        <v>7</v>
      </c>
    </row>
    <row r="23">
      <c r="A23" s="73" t="n">
        <v>46225</v>
      </c>
      <c r="B23" t="n">
        <v>4</v>
      </c>
      <c r="C23" t="inlineStr">
        <is>
          <t>Jul</t>
        </is>
      </c>
      <c r="D23" t="inlineStr">
        <is>
          <t>LA500</t>
        </is>
      </c>
      <c r="E23" t="inlineStr">
        <is>
          <t>Santiago - Miami</t>
        </is>
      </c>
      <c r="F23" t="n">
        <v>23</v>
      </c>
      <c r="G23">
        <f>MAX(0,ROUND(F23*Dashboard!$H$5,0))</f>
        <v/>
      </c>
      <c r="H23" s="8">
        <f>Dashboard!$F$5</f>
        <v/>
      </c>
      <c r="I23" s="8">
        <f>G23*H23</f>
        <v/>
      </c>
      <c r="J23" s="8" t="n">
        <v>847</v>
      </c>
      <c r="K23" s="8">
        <f>J23*Dashboard!$L$5*(1-Dashboard!$J$5*0.35)</f>
        <v/>
      </c>
      <c r="L23" s="8">
        <f>K23*Inputs!$I$5</f>
        <v/>
      </c>
      <c r="M23" t="n">
        <v>11.3</v>
      </c>
      <c r="N23" s="74">
        <f>M23*(1-Dashboard!$J$5)</f>
        <v/>
      </c>
      <c r="O23">
        <f>IF(N23&lt;=Inputs!$I$7,"Verde",IF(N23&lt;=Inputs!$I$7+2,"Amarillo","Rojo"))</f>
        <v/>
      </c>
      <c r="P23" s="8">
        <f>I23-L23</f>
        <v/>
      </c>
      <c r="Q23">
        <f>IF(G23&gt;=Inputs!$I$8,"Verde",IF(G23&gt;=Inputs!$I$8*0.85,"Amarillo","Rojo"))</f>
        <v/>
      </c>
      <c r="R23" t="n">
        <v>0</v>
      </c>
    </row>
    <row r="24">
      <c r="A24" s="73" t="n">
        <v>46226</v>
      </c>
      <c r="B24" t="n">
        <v>4</v>
      </c>
      <c r="C24" t="inlineStr">
        <is>
          <t>Jul</t>
        </is>
      </c>
      <c r="D24" t="inlineStr">
        <is>
          <t>LA501</t>
        </is>
      </c>
      <c r="E24" t="inlineStr">
        <is>
          <t>Santiago - Miami</t>
        </is>
      </c>
      <c r="F24" t="n">
        <v>20</v>
      </c>
      <c r="G24">
        <f>MAX(0,ROUND(F24*Dashboard!$H$5,0))</f>
        <v/>
      </c>
      <c r="H24" s="8">
        <f>Dashboard!$F$5</f>
        <v/>
      </c>
      <c r="I24" s="8">
        <f>G24*H24</f>
        <v/>
      </c>
      <c r="J24" s="8" t="n">
        <v>831</v>
      </c>
      <c r="K24" s="8">
        <f>J24*Dashboard!$L$5*(1-Dashboard!$J$5*0.35)</f>
        <v/>
      </c>
      <c r="L24" s="8">
        <f>K24*Inputs!$I$5</f>
        <v/>
      </c>
      <c r="M24" t="n">
        <v>11.9</v>
      </c>
      <c r="N24" s="74">
        <f>M24*(1-Dashboard!$J$5)</f>
        <v/>
      </c>
      <c r="O24">
        <f>IF(N24&lt;=Inputs!$I$7,"Verde",IF(N24&lt;=Inputs!$I$7+2,"Amarillo","Rojo"))</f>
        <v/>
      </c>
      <c r="P24" s="8">
        <f>I24-L24</f>
        <v/>
      </c>
      <c r="Q24">
        <f>IF(G24&gt;=Inputs!$I$8,"Verde",IF(G24&gt;=Inputs!$I$8*0.85,"Amarillo","Rojo"))</f>
        <v/>
      </c>
      <c r="R24" t="n">
        <v>9</v>
      </c>
    </row>
    <row r="25">
      <c r="A25" s="73" t="n">
        <v>46227</v>
      </c>
      <c r="B25" t="n">
        <v>4</v>
      </c>
      <c r="C25" t="inlineStr">
        <is>
          <t>Jul</t>
        </is>
      </c>
      <c r="D25" t="inlineStr">
        <is>
          <t>LA502</t>
        </is>
      </c>
      <c r="E25" t="inlineStr">
        <is>
          <t>Santiago - Miami</t>
        </is>
      </c>
      <c r="F25" t="n">
        <v>18</v>
      </c>
      <c r="G25">
        <f>MAX(0,ROUND(F25*Dashboard!$H$5,0))</f>
        <v/>
      </c>
      <c r="H25" s="8">
        <f>Dashboard!$F$5</f>
        <v/>
      </c>
      <c r="I25" s="8">
        <f>G25*H25</f>
        <v/>
      </c>
      <c r="J25" s="8" t="n">
        <v>910</v>
      </c>
      <c r="K25" s="8">
        <f>J25*Dashboard!$L$5*(1-Dashboard!$J$5*0.35)</f>
        <v/>
      </c>
      <c r="L25" s="8">
        <f>K25*Inputs!$I$5</f>
        <v/>
      </c>
      <c r="M25" t="n">
        <v>12.5</v>
      </c>
      <c r="N25" s="74">
        <f>M25*(1-Dashboard!$J$5)</f>
        <v/>
      </c>
      <c r="O25">
        <f>IF(N25&lt;=Inputs!$I$7,"Verde",IF(N25&lt;=Inputs!$I$7+2,"Amarillo","Rojo"))</f>
        <v/>
      </c>
      <c r="P25" s="8">
        <f>I25-L25</f>
        <v/>
      </c>
      <c r="Q25">
        <f>IF(G25&gt;=Inputs!$I$8,"Verde",IF(G25&gt;=Inputs!$I$8*0.85,"Amarillo","Rojo"))</f>
        <v/>
      </c>
      <c r="R25" t="n">
        <v>9</v>
      </c>
    </row>
    <row r="26">
      <c r="A26" s="73" t="n">
        <v>46228</v>
      </c>
      <c r="B26" t="n">
        <v>4</v>
      </c>
      <c r="C26" t="inlineStr">
        <is>
          <t>Jul</t>
        </is>
      </c>
      <c r="D26" t="inlineStr">
        <is>
          <t>LA503</t>
        </is>
      </c>
      <c r="E26" t="inlineStr">
        <is>
          <t>Santiago - Miami</t>
        </is>
      </c>
      <c r="F26" t="n">
        <v>23</v>
      </c>
      <c r="G26">
        <f>MAX(0,ROUND(F26*Dashboard!$H$5,0))</f>
        <v/>
      </c>
      <c r="H26" s="8">
        <f>Dashboard!$F$5</f>
        <v/>
      </c>
      <c r="I26" s="8">
        <f>G26*H26</f>
        <v/>
      </c>
      <c r="J26" s="8" t="n">
        <v>944</v>
      </c>
      <c r="K26" s="8">
        <f>J26*Dashboard!$L$5*(1-Dashboard!$J$5*0.35)</f>
        <v/>
      </c>
      <c r="L26" s="8">
        <f>K26*Inputs!$I$5</f>
        <v/>
      </c>
      <c r="M26" t="n">
        <v>9.5</v>
      </c>
      <c r="N26" s="74">
        <f>M26*(1-Dashboard!$J$5)</f>
        <v/>
      </c>
      <c r="O26">
        <f>IF(N26&lt;=Inputs!$I$7,"Verde",IF(N26&lt;=Inputs!$I$7+2,"Amarillo","Rojo"))</f>
        <v/>
      </c>
      <c r="P26" s="8">
        <f>I26-L26</f>
        <v/>
      </c>
      <c r="Q26">
        <f>IF(G26&gt;=Inputs!$I$8,"Verde",IF(G26&gt;=Inputs!$I$8*0.85,"Amarillo","Rojo"))</f>
        <v/>
      </c>
      <c r="R26" t="n">
        <v>0</v>
      </c>
    </row>
    <row r="27">
      <c r="A27" s="73" t="n">
        <v>46229</v>
      </c>
      <c r="B27" t="n">
        <v>4</v>
      </c>
      <c r="C27" t="inlineStr">
        <is>
          <t>Jul</t>
        </is>
      </c>
      <c r="D27" t="inlineStr">
        <is>
          <t>LA504</t>
        </is>
      </c>
      <c r="E27" t="inlineStr">
        <is>
          <t>Santiago - Miami</t>
        </is>
      </c>
      <c r="F27" t="n">
        <v>25</v>
      </c>
      <c r="G27">
        <f>MAX(0,ROUND(F27*Dashboard!$H$5,0))</f>
        <v/>
      </c>
      <c r="H27" s="8">
        <f>Dashboard!$F$5</f>
        <v/>
      </c>
      <c r="I27" s="8">
        <f>G27*H27</f>
        <v/>
      </c>
      <c r="J27" s="8" t="n">
        <v>856</v>
      </c>
      <c r="K27" s="8">
        <f>J27*Dashboard!$L$5*(1-Dashboard!$J$5*0.35)</f>
        <v/>
      </c>
      <c r="L27" s="8">
        <f>K27*Inputs!$I$5</f>
        <v/>
      </c>
      <c r="M27" t="n">
        <v>14.3</v>
      </c>
      <c r="N27" s="74">
        <f>M27*(1-Dashboard!$J$5)</f>
        <v/>
      </c>
      <c r="O27">
        <f>IF(N27&lt;=Inputs!$I$7,"Verde",IF(N27&lt;=Inputs!$I$7+2,"Amarillo","Rojo"))</f>
        <v/>
      </c>
      <c r="P27" s="8">
        <f>I27-L27</f>
        <v/>
      </c>
      <c r="Q27">
        <f>IF(G27&gt;=Inputs!$I$8,"Verde",IF(G27&gt;=Inputs!$I$8*0.85,"Amarillo","Rojo"))</f>
        <v/>
      </c>
      <c r="R27" t="n">
        <v>21</v>
      </c>
    </row>
    <row r="28">
      <c r="A28" s="73" t="n">
        <v>46230</v>
      </c>
      <c r="B28" t="n">
        <v>4</v>
      </c>
      <c r="C28" t="inlineStr">
        <is>
          <t>Jul</t>
        </is>
      </c>
      <c r="D28" t="inlineStr">
        <is>
          <t>LA505</t>
        </is>
      </c>
      <c r="E28" t="inlineStr">
        <is>
          <t>Santiago - Miami</t>
        </is>
      </c>
      <c r="F28" t="n">
        <v>17</v>
      </c>
      <c r="G28">
        <f>MAX(0,ROUND(F28*Dashboard!$H$5,0))</f>
        <v/>
      </c>
      <c r="H28" s="8">
        <f>Dashboard!$F$5</f>
        <v/>
      </c>
      <c r="I28" s="8">
        <f>G28*H28</f>
        <v/>
      </c>
      <c r="J28" s="8" t="n">
        <v>841</v>
      </c>
      <c r="K28" s="8">
        <f>J28*Dashboard!$L$5*(1-Dashboard!$J$5*0.35)</f>
        <v/>
      </c>
      <c r="L28" s="8">
        <f>K28*Inputs!$I$5</f>
        <v/>
      </c>
      <c r="M28" t="n">
        <v>13</v>
      </c>
      <c r="N28" s="74">
        <f>M28*(1-Dashboard!$J$5)</f>
        <v/>
      </c>
      <c r="O28">
        <f>IF(N28&lt;=Inputs!$I$7,"Verde",IF(N28&lt;=Inputs!$I$7+2,"Amarillo","Rojo"))</f>
        <v/>
      </c>
      <c r="P28" s="8">
        <f>I28-L28</f>
        <v/>
      </c>
      <c r="Q28">
        <f>IF(G28&gt;=Inputs!$I$8,"Verde",IF(G28&gt;=Inputs!$I$8*0.85,"Amarillo","Rojo"))</f>
        <v/>
      </c>
      <c r="R28" t="n">
        <v>4</v>
      </c>
    </row>
    <row r="29">
      <c r="A29" s="73" t="n">
        <v>46231</v>
      </c>
      <c r="B29" t="n">
        <v>4</v>
      </c>
      <c r="C29" t="inlineStr">
        <is>
          <t>Jul</t>
        </is>
      </c>
      <c r="D29" t="inlineStr">
        <is>
          <t>LA506</t>
        </is>
      </c>
      <c r="E29" t="inlineStr">
        <is>
          <t>Santiago - Miami</t>
        </is>
      </c>
      <c r="F29" t="n">
        <v>21</v>
      </c>
      <c r="G29">
        <f>MAX(0,ROUND(F29*Dashboard!$H$5,0))</f>
        <v/>
      </c>
      <c r="H29" s="8">
        <f>Dashboard!$F$5</f>
        <v/>
      </c>
      <c r="I29" s="8">
        <f>G29*H29</f>
        <v/>
      </c>
      <c r="J29" s="8" t="n">
        <v>853</v>
      </c>
      <c r="K29" s="8">
        <f>J29*Dashboard!$L$5*(1-Dashboard!$J$5*0.35)</f>
        <v/>
      </c>
      <c r="L29" s="8">
        <f>K29*Inputs!$I$5</f>
        <v/>
      </c>
      <c r="M29" t="n">
        <v>12.6</v>
      </c>
      <c r="N29" s="74">
        <f>M29*(1-Dashboard!$J$5)</f>
        <v/>
      </c>
      <c r="O29">
        <f>IF(N29&lt;=Inputs!$I$7,"Verde",IF(N29&lt;=Inputs!$I$7+2,"Amarillo","Rojo"))</f>
        <v/>
      </c>
      <c r="P29" s="8">
        <f>I29-L29</f>
        <v/>
      </c>
      <c r="Q29">
        <f>IF(G29&gt;=Inputs!$I$8,"Verde",IF(G29&gt;=Inputs!$I$8*0.85,"Amarillo","Rojo"))</f>
        <v/>
      </c>
      <c r="R29" t="n">
        <v>1</v>
      </c>
    </row>
    <row r="30">
      <c r="A30" s="73" t="n">
        <v>46232</v>
      </c>
      <c r="B30" t="n">
        <v>5</v>
      </c>
      <c r="C30" t="inlineStr">
        <is>
          <t>Jul</t>
        </is>
      </c>
      <c r="D30" t="inlineStr">
        <is>
          <t>LA500</t>
        </is>
      </c>
      <c r="E30" t="inlineStr">
        <is>
          <t>Santiago - Miami</t>
        </is>
      </c>
      <c r="F30" t="n">
        <v>18</v>
      </c>
      <c r="G30">
        <f>MAX(0,ROUND(F30*Dashboard!$H$5,0))</f>
        <v/>
      </c>
      <c r="H30" s="8">
        <f>Dashboard!$F$5</f>
        <v/>
      </c>
      <c r="I30" s="8">
        <f>G30*H30</f>
        <v/>
      </c>
      <c r="J30" s="8" t="n">
        <v>866</v>
      </c>
      <c r="K30" s="8">
        <f>J30*Dashboard!$L$5*(1-Dashboard!$J$5*0.35)</f>
        <v/>
      </c>
      <c r="L30" s="8">
        <f>K30*Inputs!$I$5</f>
        <v/>
      </c>
      <c r="M30" t="n">
        <v>11.5</v>
      </c>
      <c r="N30" s="74">
        <f>M30*(1-Dashboard!$J$5)</f>
        <v/>
      </c>
      <c r="O30">
        <f>IF(N30&lt;=Inputs!$I$7,"Verde",IF(N30&lt;=Inputs!$I$7+2,"Amarillo","Rojo"))</f>
        <v/>
      </c>
      <c r="P30" s="8">
        <f>I30-L30</f>
        <v/>
      </c>
      <c r="Q30">
        <f>IF(G30&gt;=Inputs!$I$8,"Verde",IF(G30&gt;=Inputs!$I$8*0.85,"Amarillo","Rojo"))</f>
        <v/>
      </c>
      <c r="R30" t="n">
        <v>0</v>
      </c>
    </row>
    <row r="31">
      <c r="A31" s="73" t="n">
        <v>46233</v>
      </c>
      <c r="B31" t="n">
        <v>5</v>
      </c>
      <c r="C31" t="inlineStr">
        <is>
          <t>Jul</t>
        </is>
      </c>
      <c r="D31" t="inlineStr">
        <is>
          <t>LA501</t>
        </is>
      </c>
      <c r="E31" t="inlineStr">
        <is>
          <t>Santiago - Miami</t>
        </is>
      </c>
      <c r="F31" t="n">
        <v>21</v>
      </c>
      <c r="G31">
        <f>MAX(0,ROUND(F31*Dashboard!$H$5,0))</f>
        <v/>
      </c>
      <c r="H31" s="8">
        <f>Dashboard!$F$5</f>
        <v/>
      </c>
      <c r="I31" s="8">
        <f>G31*H31</f>
        <v/>
      </c>
      <c r="J31" s="8" t="n">
        <v>862</v>
      </c>
      <c r="K31" s="8">
        <f>J31*Dashboard!$L$5*(1-Dashboard!$J$5*0.35)</f>
        <v/>
      </c>
      <c r="L31" s="8">
        <f>K31*Inputs!$I$5</f>
        <v/>
      </c>
      <c r="M31" t="n">
        <v>13.2</v>
      </c>
      <c r="N31" s="74">
        <f>M31*(1-Dashboard!$J$5)</f>
        <v/>
      </c>
      <c r="O31">
        <f>IF(N31&lt;=Inputs!$I$7,"Verde",IF(N31&lt;=Inputs!$I$7+2,"Amarillo","Rojo"))</f>
        <v/>
      </c>
      <c r="P31" s="8">
        <f>I31-L31</f>
        <v/>
      </c>
      <c r="Q31">
        <f>IF(G31&gt;=Inputs!$I$8,"Verde",IF(G31&gt;=Inputs!$I$8*0.85,"Amarillo","Rojo"))</f>
        <v/>
      </c>
      <c r="R31" t="n">
        <v>12</v>
      </c>
    </row>
    <row r="32">
      <c r="A32" s="73" t="n">
        <v>46234</v>
      </c>
      <c r="B32" t="n">
        <v>5</v>
      </c>
      <c r="C32" t="inlineStr">
        <is>
          <t>Jul</t>
        </is>
      </c>
      <c r="D32" t="inlineStr">
        <is>
          <t>LA502</t>
        </is>
      </c>
      <c r="E32" t="inlineStr">
        <is>
          <t>Santiago - Miami</t>
        </is>
      </c>
      <c r="F32" t="n">
        <v>25</v>
      </c>
      <c r="G32">
        <f>MAX(0,ROUND(F32*Dashboard!$H$5,0))</f>
        <v/>
      </c>
      <c r="H32" s="8">
        <f>Dashboard!$F$5</f>
        <v/>
      </c>
      <c r="I32" s="8">
        <f>G32*H32</f>
        <v/>
      </c>
      <c r="J32" s="8" t="n">
        <v>835</v>
      </c>
      <c r="K32" s="8">
        <f>J32*Dashboard!$L$5*(1-Dashboard!$J$5*0.35)</f>
        <v/>
      </c>
      <c r="L32" s="8">
        <f>K32*Inputs!$I$5</f>
        <v/>
      </c>
      <c r="M32" t="n">
        <v>13.8</v>
      </c>
      <c r="N32" s="74">
        <f>M32*(1-Dashboard!$J$5)</f>
        <v/>
      </c>
      <c r="O32">
        <f>IF(N32&lt;=Inputs!$I$7,"Verde",IF(N32&lt;=Inputs!$I$7+2,"Amarillo","Rojo"))</f>
        <v/>
      </c>
      <c r="P32" s="8">
        <f>I32-L32</f>
        <v/>
      </c>
      <c r="Q32">
        <f>IF(G32&gt;=Inputs!$I$8,"Verde",IF(G32&gt;=Inputs!$I$8*0.85,"Amarillo","Rojo"))</f>
        <v/>
      </c>
      <c r="R32" t="n">
        <v>5</v>
      </c>
    </row>
    <row r="33">
      <c r="A33" s="73" t="n">
        <v>46235</v>
      </c>
      <c r="B33" t="n">
        <v>5</v>
      </c>
      <c r="C33" t="inlineStr">
        <is>
          <t>Aug</t>
        </is>
      </c>
      <c r="D33" t="inlineStr">
        <is>
          <t>LA503</t>
        </is>
      </c>
      <c r="E33" t="inlineStr">
        <is>
          <t>Santiago - Miami</t>
        </is>
      </c>
      <c r="F33" t="n">
        <v>20</v>
      </c>
      <c r="G33">
        <f>MAX(0,ROUND(F33*Dashboard!$H$5,0))</f>
        <v/>
      </c>
      <c r="H33" s="8">
        <f>Dashboard!$F$5</f>
        <v/>
      </c>
      <c r="I33" s="8">
        <f>G33*H33</f>
        <v/>
      </c>
      <c r="J33" s="8" t="n">
        <v>904</v>
      </c>
      <c r="K33" s="8">
        <f>J33*Dashboard!$L$5*(1-Dashboard!$J$5*0.35)</f>
        <v/>
      </c>
      <c r="L33" s="8">
        <f>K33*Inputs!$I$5</f>
        <v/>
      </c>
      <c r="M33" t="n">
        <v>11.2</v>
      </c>
      <c r="N33" s="74">
        <f>M33*(1-Dashboard!$J$5)</f>
        <v/>
      </c>
      <c r="O33">
        <f>IF(N33&lt;=Inputs!$I$7,"Verde",IF(N33&lt;=Inputs!$I$7+2,"Amarillo","Rojo"))</f>
        <v/>
      </c>
      <c r="P33" s="8">
        <f>I33-L33</f>
        <v/>
      </c>
      <c r="Q33">
        <f>IF(G33&gt;=Inputs!$I$8,"Verde",IF(G33&gt;=Inputs!$I$8*0.85,"Amarillo","Rojo"))</f>
        <v/>
      </c>
      <c r="R33" t="n">
        <v>16</v>
      </c>
    </row>
    <row r="34">
      <c r="A34" s="73" t="n">
        <v>46236</v>
      </c>
      <c r="B34" t="n">
        <v>5</v>
      </c>
      <c r="C34" t="inlineStr">
        <is>
          <t>Aug</t>
        </is>
      </c>
      <c r="D34" t="inlineStr">
        <is>
          <t>LA504</t>
        </is>
      </c>
      <c r="E34" t="inlineStr">
        <is>
          <t>Santiago - Miami</t>
        </is>
      </c>
      <c r="F34" t="n">
        <v>19</v>
      </c>
      <c r="G34">
        <f>MAX(0,ROUND(F34*Dashboard!$H$5,0))</f>
        <v/>
      </c>
      <c r="H34" s="8">
        <f>Dashboard!$F$5</f>
        <v/>
      </c>
      <c r="I34" s="8">
        <f>G34*H34</f>
        <v/>
      </c>
      <c r="J34" s="8" t="n">
        <v>940</v>
      </c>
      <c r="K34" s="8">
        <f>J34*Dashboard!$L$5*(1-Dashboard!$J$5*0.35)</f>
        <v/>
      </c>
      <c r="L34" s="8">
        <f>K34*Inputs!$I$5</f>
        <v/>
      </c>
      <c r="M34" t="n">
        <v>14.3</v>
      </c>
      <c r="N34" s="74">
        <f>M34*(1-Dashboard!$J$5)</f>
        <v/>
      </c>
      <c r="O34">
        <f>IF(N34&lt;=Inputs!$I$7,"Verde",IF(N34&lt;=Inputs!$I$7+2,"Amarillo","Rojo"))</f>
        <v/>
      </c>
      <c r="P34" s="8">
        <f>I34-L34</f>
        <v/>
      </c>
      <c r="Q34">
        <f>IF(G34&gt;=Inputs!$I$8,"Verde",IF(G34&gt;=Inputs!$I$8*0.85,"Amarillo","Rojo"))</f>
        <v/>
      </c>
      <c r="R34" t="n">
        <v>19</v>
      </c>
    </row>
    <row r="35">
      <c r="A35" s="73" t="n">
        <v>46237</v>
      </c>
      <c r="B35" t="n">
        <v>5</v>
      </c>
      <c r="C35" t="inlineStr">
        <is>
          <t>Aug</t>
        </is>
      </c>
      <c r="D35" t="inlineStr">
        <is>
          <t>LA505</t>
        </is>
      </c>
      <c r="E35" t="inlineStr">
        <is>
          <t>Santiago - Miami</t>
        </is>
      </c>
      <c r="F35" t="n">
        <v>22</v>
      </c>
      <c r="G35">
        <f>MAX(0,ROUND(F35*Dashboard!$H$5,0))</f>
        <v/>
      </c>
      <c r="H35" s="8">
        <f>Dashboard!$F$5</f>
        <v/>
      </c>
      <c r="I35" s="8">
        <f>G35*H35</f>
        <v/>
      </c>
      <c r="J35" s="8" t="n">
        <v>952</v>
      </c>
      <c r="K35" s="8">
        <f>J35*Dashboard!$L$5*(1-Dashboard!$J$5*0.35)</f>
        <v/>
      </c>
      <c r="L35" s="8">
        <f>K35*Inputs!$I$5</f>
        <v/>
      </c>
      <c r="M35" t="n">
        <v>9.300000000000001</v>
      </c>
      <c r="N35" s="74">
        <f>M35*(1-Dashboard!$J$5)</f>
        <v/>
      </c>
      <c r="O35">
        <f>IF(N35&lt;=Inputs!$I$7,"Verde",IF(N35&lt;=Inputs!$I$7+2,"Amarillo","Rojo"))</f>
        <v/>
      </c>
      <c r="P35" s="8">
        <f>I35-L35</f>
        <v/>
      </c>
      <c r="Q35">
        <f>IF(G35&gt;=Inputs!$I$8,"Verde",IF(G35&gt;=Inputs!$I$8*0.85,"Amarillo","Rojo"))</f>
        <v/>
      </c>
      <c r="R35" t="n">
        <v>1</v>
      </c>
    </row>
    <row r="36">
      <c r="A36" s="73" t="n">
        <v>46238</v>
      </c>
      <c r="B36" t="n">
        <v>5</v>
      </c>
      <c r="C36" t="inlineStr">
        <is>
          <t>Aug</t>
        </is>
      </c>
      <c r="D36" t="inlineStr">
        <is>
          <t>LA506</t>
        </is>
      </c>
      <c r="E36" t="inlineStr">
        <is>
          <t>Santiago - Miami</t>
        </is>
      </c>
      <c r="F36" t="n">
        <v>22</v>
      </c>
      <c r="G36">
        <f>MAX(0,ROUND(F36*Dashboard!$H$5,0))</f>
        <v/>
      </c>
      <c r="H36" s="8">
        <f>Dashboard!$F$5</f>
        <v/>
      </c>
      <c r="I36" s="8">
        <f>G36*H36</f>
        <v/>
      </c>
      <c r="J36" s="8" t="n">
        <v>897</v>
      </c>
      <c r="K36" s="8">
        <f>J36*Dashboard!$L$5*(1-Dashboard!$J$5*0.35)</f>
        <v/>
      </c>
      <c r="L36" s="8">
        <f>K36*Inputs!$I$5</f>
        <v/>
      </c>
      <c r="M36" t="n">
        <v>10.5</v>
      </c>
      <c r="N36" s="74">
        <f>M36*(1-Dashboard!$J$5)</f>
        <v/>
      </c>
      <c r="O36">
        <f>IF(N36&lt;=Inputs!$I$7,"Verde",IF(N36&lt;=Inputs!$I$7+2,"Amarillo","Rojo"))</f>
        <v/>
      </c>
      <c r="P36" s="8">
        <f>I36-L36</f>
        <v/>
      </c>
      <c r="Q36">
        <f>IF(G36&gt;=Inputs!$I$8,"Verde",IF(G36&gt;=Inputs!$I$8*0.85,"Amarillo","Rojo"))</f>
        <v/>
      </c>
      <c r="R36" t="n">
        <v>8</v>
      </c>
    </row>
    <row r="37">
      <c r="A37" s="73" t="n">
        <v>46239</v>
      </c>
      <c r="B37" t="n">
        <v>6</v>
      </c>
      <c r="C37" t="inlineStr">
        <is>
          <t>Aug</t>
        </is>
      </c>
      <c r="D37" t="inlineStr">
        <is>
          <t>LA500</t>
        </is>
      </c>
      <c r="E37" t="inlineStr">
        <is>
          <t>Santiago - Miami</t>
        </is>
      </c>
      <c r="F37" t="n">
        <v>18</v>
      </c>
      <c r="G37">
        <f>MAX(0,ROUND(F37*Dashboard!$H$5,0))</f>
        <v/>
      </c>
      <c r="H37" s="8">
        <f>Dashboard!$F$5</f>
        <v/>
      </c>
      <c r="I37" s="8">
        <f>G37*H37</f>
        <v/>
      </c>
      <c r="J37" s="8" t="n">
        <v>950</v>
      </c>
      <c r="K37" s="8">
        <f>J37*Dashboard!$L$5*(1-Dashboard!$J$5*0.35)</f>
        <v/>
      </c>
      <c r="L37" s="8">
        <f>K37*Inputs!$I$5</f>
        <v/>
      </c>
      <c r="M37" t="n">
        <v>13.1</v>
      </c>
      <c r="N37" s="74">
        <f>M37*(1-Dashboard!$J$5)</f>
        <v/>
      </c>
      <c r="O37">
        <f>IF(N37&lt;=Inputs!$I$7,"Verde",IF(N37&lt;=Inputs!$I$7+2,"Amarillo","Rojo"))</f>
        <v/>
      </c>
      <c r="P37" s="8">
        <f>I37-L37</f>
        <v/>
      </c>
      <c r="Q37">
        <f>IF(G37&gt;=Inputs!$I$8,"Verde",IF(G37&gt;=Inputs!$I$8*0.85,"Amarillo","Rojo"))</f>
        <v/>
      </c>
      <c r="R37" t="n">
        <v>15</v>
      </c>
    </row>
    <row r="38">
      <c r="A38" s="73" t="n">
        <v>46240</v>
      </c>
      <c r="B38" t="n">
        <v>6</v>
      </c>
      <c r="C38" t="inlineStr">
        <is>
          <t>Aug</t>
        </is>
      </c>
      <c r="D38" t="inlineStr">
        <is>
          <t>LA501</t>
        </is>
      </c>
      <c r="E38" t="inlineStr">
        <is>
          <t>Santiago - Miami</t>
        </is>
      </c>
      <c r="F38" t="n">
        <v>18</v>
      </c>
      <c r="G38">
        <f>MAX(0,ROUND(F38*Dashboard!$H$5,0))</f>
        <v/>
      </c>
      <c r="H38" s="8">
        <f>Dashboard!$F$5</f>
        <v/>
      </c>
      <c r="I38" s="8">
        <f>G38*H38</f>
        <v/>
      </c>
      <c r="J38" s="8" t="n">
        <v>839</v>
      </c>
      <c r="K38" s="8">
        <f>J38*Dashboard!$L$5*(1-Dashboard!$J$5*0.35)</f>
        <v/>
      </c>
      <c r="L38" s="8">
        <f>K38*Inputs!$I$5</f>
        <v/>
      </c>
      <c r="M38" t="n">
        <v>12</v>
      </c>
      <c r="N38" s="74">
        <f>M38*(1-Dashboard!$J$5)</f>
        <v/>
      </c>
      <c r="O38">
        <f>IF(N38&lt;=Inputs!$I$7,"Verde",IF(N38&lt;=Inputs!$I$7+2,"Amarillo","Rojo"))</f>
        <v/>
      </c>
      <c r="P38" s="8">
        <f>I38-L38</f>
        <v/>
      </c>
      <c r="Q38">
        <f>IF(G38&gt;=Inputs!$I$8,"Verde",IF(G38&gt;=Inputs!$I$8*0.85,"Amarillo","Rojo"))</f>
        <v/>
      </c>
      <c r="R38" t="n">
        <v>14</v>
      </c>
    </row>
    <row r="39">
      <c r="A39" s="73" t="n">
        <v>46241</v>
      </c>
      <c r="B39" t="n">
        <v>6</v>
      </c>
      <c r="C39" t="inlineStr">
        <is>
          <t>Aug</t>
        </is>
      </c>
      <c r="D39" t="inlineStr">
        <is>
          <t>LA502</t>
        </is>
      </c>
      <c r="E39" t="inlineStr">
        <is>
          <t>Santiago - Miami</t>
        </is>
      </c>
      <c r="F39" t="n">
        <v>25</v>
      </c>
      <c r="G39">
        <f>MAX(0,ROUND(F39*Dashboard!$H$5,0))</f>
        <v/>
      </c>
      <c r="H39" s="8">
        <f>Dashboard!$F$5</f>
        <v/>
      </c>
      <c r="I39" s="8">
        <f>G39*H39</f>
        <v/>
      </c>
      <c r="J39" s="8" t="n">
        <v>908</v>
      </c>
      <c r="K39" s="8">
        <f>J39*Dashboard!$L$5*(1-Dashboard!$J$5*0.35)</f>
        <v/>
      </c>
      <c r="L39" s="8">
        <f>K39*Inputs!$I$5</f>
        <v/>
      </c>
      <c r="M39" t="n">
        <v>10.6</v>
      </c>
      <c r="N39" s="74">
        <f>M39*(1-Dashboard!$J$5)</f>
        <v/>
      </c>
      <c r="O39">
        <f>IF(N39&lt;=Inputs!$I$7,"Verde",IF(N39&lt;=Inputs!$I$7+2,"Amarillo","Rojo"))</f>
        <v/>
      </c>
      <c r="P39" s="8">
        <f>I39-L39</f>
        <v/>
      </c>
      <c r="Q39">
        <f>IF(G39&gt;=Inputs!$I$8,"Verde",IF(G39&gt;=Inputs!$I$8*0.85,"Amarillo","Rojo"))</f>
        <v/>
      </c>
      <c r="R39" t="n">
        <v>14</v>
      </c>
    </row>
    <row r="40">
      <c r="A40" s="73" t="n">
        <v>46242</v>
      </c>
      <c r="B40" t="n">
        <v>6</v>
      </c>
      <c r="C40" t="inlineStr">
        <is>
          <t>Aug</t>
        </is>
      </c>
      <c r="D40" t="inlineStr">
        <is>
          <t>LA503</t>
        </is>
      </c>
      <c r="E40" t="inlineStr">
        <is>
          <t>Santiago - Miami</t>
        </is>
      </c>
      <c r="F40" t="n">
        <v>23</v>
      </c>
      <c r="G40">
        <f>MAX(0,ROUND(F40*Dashboard!$H$5,0))</f>
        <v/>
      </c>
      <c r="H40" s="8">
        <f>Dashboard!$F$5</f>
        <v/>
      </c>
      <c r="I40" s="8">
        <f>G40*H40</f>
        <v/>
      </c>
      <c r="J40" s="8" t="n">
        <v>917</v>
      </c>
      <c r="K40" s="8">
        <f>J40*Dashboard!$L$5*(1-Dashboard!$J$5*0.35)</f>
        <v/>
      </c>
      <c r="L40" s="8">
        <f>K40*Inputs!$I$5</f>
        <v/>
      </c>
      <c r="M40" t="n">
        <v>14.1</v>
      </c>
      <c r="N40" s="74">
        <f>M40*(1-Dashboard!$J$5)</f>
        <v/>
      </c>
      <c r="O40">
        <f>IF(N40&lt;=Inputs!$I$7,"Verde",IF(N40&lt;=Inputs!$I$7+2,"Amarillo","Rojo"))</f>
        <v/>
      </c>
      <c r="P40" s="8">
        <f>I40-L40</f>
        <v/>
      </c>
      <c r="Q40">
        <f>IF(G40&gt;=Inputs!$I$8,"Verde",IF(G40&gt;=Inputs!$I$8*0.85,"Amarillo","Rojo"))</f>
        <v/>
      </c>
      <c r="R40" t="n">
        <v>8</v>
      </c>
    </row>
    <row r="41">
      <c r="A41" s="73" t="n">
        <v>46243</v>
      </c>
      <c r="B41" t="n">
        <v>6</v>
      </c>
      <c r="C41" t="inlineStr">
        <is>
          <t>Aug</t>
        </is>
      </c>
      <c r="D41" t="inlineStr">
        <is>
          <t>LA504</t>
        </is>
      </c>
      <c r="E41" t="inlineStr">
        <is>
          <t>Santiago - Miami</t>
        </is>
      </c>
      <c r="F41" t="n">
        <v>21</v>
      </c>
      <c r="G41">
        <f>MAX(0,ROUND(F41*Dashboard!$H$5,0))</f>
        <v/>
      </c>
      <c r="H41" s="8">
        <f>Dashboard!$F$5</f>
        <v/>
      </c>
      <c r="I41" s="8">
        <f>G41*H41</f>
        <v/>
      </c>
      <c r="J41" s="8" t="n">
        <v>953</v>
      </c>
      <c r="K41" s="8">
        <f>J41*Dashboard!$L$5*(1-Dashboard!$J$5*0.35)</f>
        <v/>
      </c>
      <c r="L41" s="8">
        <f>K41*Inputs!$I$5</f>
        <v/>
      </c>
      <c r="M41" t="n">
        <v>14.5</v>
      </c>
      <c r="N41" s="74">
        <f>M41*(1-Dashboard!$J$5)</f>
        <v/>
      </c>
      <c r="O41">
        <f>IF(N41&lt;=Inputs!$I$7,"Verde",IF(N41&lt;=Inputs!$I$7+2,"Amarillo","Rojo"))</f>
        <v/>
      </c>
      <c r="P41" s="8">
        <f>I41-L41</f>
        <v/>
      </c>
      <c r="Q41">
        <f>IF(G41&gt;=Inputs!$I$8,"Verde",IF(G41&gt;=Inputs!$I$8*0.85,"Amarillo","Rojo"))</f>
        <v/>
      </c>
      <c r="R41" t="n">
        <v>0</v>
      </c>
    </row>
    <row r="42">
      <c r="A42" s="73" t="n">
        <v>46244</v>
      </c>
      <c r="B42" t="n">
        <v>6</v>
      </c>
      <c r="C42" t="inlineStr">
        <is>
          <t>Aug</t>
        </is>
      </c>
      <c r="D42" t="inlineStr">
        <is>
          <t>LA505</t>
        </is>
      </c>
      <c r="E42" t="inlineStr">
        <is>
          <t>Santiago - Miami</t>
        </is>
      </c>
      <c r="F42" t="n">
        <v>22</v>
      </c>
      <c r="G42">
        <f>MAX(0,ROUND(F42*Dashboard!$H$5,0))</f>
        <v/>
      </c>
      <c r="H42" s="8">
        <f>Dashboard!$F$5</f>
        <v/>
      </c>
      <c r="I42" s="8">
        <f>G42*H42</f>
        <v/>
      </c>
      <c r="J42" s="8" t="n">
        <v>882</v>
      </c>
      <c r="K42" s="8">
        <f>J42*Dashboard!$L$5*(1-Dashboard!$J$5*0.35)</f>
        <v/>
      </c>
      <c r="L42" s="8">
        <f>K42*Inputs!$I$5</f>
        <v/>
      </c>
      <c r="M42" t="n">
        <v>14</v>
      </c>
      <c r="N42" s="74">
        <f>M42*(1-Dashboard!$J$5)</f>
        <v/>
      </c>
      <c r="O42">
        <f>IF(N42&lt;=Inputs!$I$7,"Verde",IF(N42&lt;=Inputs!$I$7+2,"Amarillo","Rojo"))</f>
        <v/>
      </c>
      <c r="P42" s="8">
        <f>I42-L42</f>
        <v/>
      </c>
      <c r="Q42">
        <f>IF(G42&gt;=Inputs!$I$8,"Verde",IF(G42&gt;=Inputs!$I$8*0.85,"Amarillo","Rojo"))</f>
        <v/>
      </c>
      <c r="R42" t="n">
        <v>3</v>
      </c>
    </row>
    <row r="43">
      <c r="A43" s="73" t="n">
        <v>46245</v>
      </c>
      <c r="B43" t="n">
        <v>6</v>
      </c>
      <c r="C43" t="inlineStr">
        <is>
          <t>Aug</t>
        </is>
      </c>
      <c r="D43" t="inlineStr">
        <is>
          <t>LA506</t>
        </is>
      </c>
      <c r="E43" t="inlineStr">
        <is>
          <t>Santiago - Miami</t>
        </is>
      </c>
      <c r="F43" t="n">
        <v>18</v>
      </c>
      <c r="G43">
        <f>MAX(0,ROUND(F43*Dashboard!$H$5,0))</f>
        <v/>
      </c>
      <c r="H43" s="8">
        <f>Dashboard!$F$5</f>
        <v/>
      </c>
      <c r="I43" s="8">
        <f>G43*H43</f>
        <v/>
      </c>
      <c r="J43" s="8" t="n">
        <v>910</v>
      </c>
      <c r="K43" s="8">
        <f>J43*Dashboard!$L$5*(1-Dashboard!$J$5*0.35)</f>
        <v/>
      </c>
      <c r="L43" s="8">
        <f>K43*Inputs!$I$5</f>
        <v/>
      </c>
      <c r="M43" t="n">
        <v>9.300000000000001</v>
      </c>
      <c r="N43" s="74">
        <f>M43*(1-Dashboard!$J$5)</f>
        <v/>
      </c>
      <c r="O43">
        <f>IF(N43&lt;=Inputs!$I$7,"Verde",IF(N43&lt;=Inputs!$I$7+2,"Amarillo","Rojo"))</f>
        <v/>
      </c>
      <c r="P43" s="8">
        <f>I43-L43</f>
        <v/>
      </c>
      <c r="Q43">
        <f>IF(G43&gt;=Inputs!$I$8,"Verde",IF(G43&gt;=Inputs!$I$8*0.85,"Amarillo","Rojo"))</f>
        <v/>
      </c>
      <c r="R43" t="n">
        <v>9</v>
      </c>
    </row>
    <row r="44">
      <c r="A44" s="73" t="n">
        <v>46246</v>
      </c>
      <c r="B44" t="n">
        <v>7</v>
      </c>
      <c r="C44" t="inlineStr">
        <is>
          <t>Aug</t>
        </is>
      </c>
      <c r="D44" t="inlineStr">
        <is>
          <t>LA500</t>
        </is>
      </c>
      <c r="E44" t="inlineStr">
        <is>
          <t>Santiago - Miami</t>
        </is>
      </c>
      <c r="F44" t="n">
        <v>24</v>
      </c>
      <c r="G44">
        <f>MAX(0,ROUND(F44*Dashboard!$H$5,0))</f>
        <v/>
      </c>
      <c r="H44" s="8">
        <f>Dashboard!$F$5</f>
        <v/>
      </c>
      <c r="I44" s="8">
        <f>G44*H44</f>
        <v/>
      </c>
      <c r="J44" s="8" t="n">
        <v>833</v>
      </c>
      <c r="K44" s="8">
        <f>J44*Dashboard!$L$5*(1-Dashboard!$J$5*0.35)</f>
        <v/>
      </c>
      <c r="L44" s="8">
        <f>K44*Inputs!$I$5</f>
        <v/>
      </c>
      <c r="M44" t="n">
        <v>10.4</v>
      </c>
      <c r="N44" s="74">
        <f>M44*(1-Dashboard!$J$5)</f>
        <v/>
      </c>
      <c r="O44">
        <f>IF(N44&lt;=Inputs!$I$7,"Verde",IF(N44&lt;=Inputs!$I$7+2,"Amarillo","Rojo"))</f>
        <v/>
      </c>
      <c r="P44" s="8">
        <f>I44-L44</f>
        <v/>
      </c>
      <c r="Q44">
        <f>IF(G44&gt;=Inputs!$I$8,"Verde",IF(G44&gt;=Inputs!$I$8*0.85,"Amarillo","Rojo"))</f>
        <v/>
      </c>
      <c r="R44" t="n">
        <v>15</v>
      </c>
    </row>
    <row r="45">
      <c r="A45" s="73" t="n">
        <v>46247</v>
      </c>
      <c r="B45" t="n">
        <v>7</v>
      </c>
      <c r="C45" t="inlineStr">
        <is>
          <t>Aug</t>
        </is>
      </c>
      <c r="D45" t="inlineStr">
        <is>
          <t>LA501</t>
        </is>
      </c>
      <c r="E45" t="inlineStr">
        <is>
          <t>Santiago - Miami</t>
        </is>
      </c>
      <c r="F45" t="n">
        <v>22</v>
      </c>
      <c r="G45">
        <f>MAX(0,ROUND(F45*Dashboard!$H$5,0))</f>
        <v/>
      </c>
      <c r="H45" s="8">
        <f>Dashboard!$F$5</f>
        <v/>
      </c>
      <c r="I45" s="8">
        <f>G45*H45</f>
        <v/>
      </c>
      <c r="J45" s="8" t="n">
        <v>931</v>
      </c>
      <c r="K45" s="8">
        <f>J45*Dashboard!$L$5*(1-Dashboard!$J$5*0.35)</f>
        <v/>
      </c>
      <c r="L45" s="8">
        <f>K45*Inputs!$I$5</f>
        <v/>
      </c>
      <c r="M45" t="n">
        <v>13.8</v>
      </c>
      <c r="N45" s="74">
        <f>M45*(1-Dashboard!$J$5)</f>
        <v/>
      </c>
      <c r="O45">
        <f>IF(N45&lt;=Inputs!$I$7,"Verde",IF(N45&lt;=Inputs!$I$7+2,"Amarillo","Rojo"))</f>
        <v/>
      </c>
      <c r="P45" s="8">
        <f>I45-L45</f>
        <v/>
      </c>
      <c r="Q45">
        <f>IF(G45&gt;=Inputs!$I$8,"Verde",IF(G45&gt;=Inputs!$I$8*0.85,"Amarillo","Rojo"))</f>
        <v/>
      </c>
      <c r="R45" t="n">
        <v>11</v>
      </c>
    </row>
    <row r="46">
      <c r="A46" s="73" t="n">
        <v>46248</v>
      </c>
      <c r="B46" t="n">
        <v>7</v>
      </c>
      <c r="C46" t="inlineStr">
        <is>
          <t>Aug</t>
        </is>
      </c>
      <c r="D46" t="inlineStr">
        <is>
          <t>LA502</t>
        </is>
      </c>
      <c r="E46" t="inlineStr">
        <is>
          <t>Santiago - Miami</t>
        </is>
      </c>
      <c r="F46" t="n">
        <v>29</v>
      </c>
      <c r="G46">
        <f>MAX(0,ROUND(F46*Dashboard!$H$5,0))</f>
        <v/>
      </c>
      <c r="H46" s="8">
        <f>Dashboard!$F$5</f>
        <v/>
      </c>
      <c r="I46" s="8">
        <f>G46*H46</f>
        <v/>
      </c>
      <c r="J46" s="8" t="n">
        <v>941</v>
      </c>
      <c r="K46" s="8">
        <f>J46*Dashboard!$L$5*(1-Dashboard!$J$5*0.35)</f>
        <v/>
      </c>
      <c r="L46" s="8">
        <f>K46*Inputs!$I$5</f>
        <v/>
      </c>
      <c r="M46" t="n">
        <v>10.7</v>
      </c>
      <c r="N46" s="74">
        <f>M46*(1-Dashboard!$J$5)</f>
        <v/>
      </c>
      <c r="O46">
        <f>IF(N46&lt;=Inputs!$I$7,"Verde",IF(N46&lt;=Inputs!$I$7+2,"Amarillo","Rojo"))</f>
        <v/>
      </c>
      <c r="P46" s="8">
        <f>I46-L46</f>
        <v/>
      </c>
      <c r="Q46">
        <f>IF(G46&gt;=Inputs!$I$8,"Verde",IF(G46&gt;=Inputs!$I$8*0.85,"Amarillo","Rojo"))</f>
        <v/>
      </c>
      <c r="R46" t="n">
        <v>0</v>
      </c>
    </row>
    <row r="47">
      <c r="A47" s="73" t="n">
        <v>46249</v>
      </c>
      <c r="B47" t="n">
        <v>7</v>
      </c>
      <c r="C47" t="inlineStr">
        <is>
          <t>Aug</t>
        </is>
      </c>
      <c r="D47" t="inlineStr">
        <is>
          <t>LA503</t>
        </is>
      </c>
      <c r="E47" t="inlineStr">
        <is>
          <t>Santiago - Miami</t>
        </is>
      </c>
      <c r="F47" t="n">
        <v>24</v>
      </c>
      <c r="G47">
        <f>MAX(0,ROUND(F47*Dashboard!$H$5,0))</f>
        <v/>
      </c>
      <c r="H47" s="8">
        <f>Dashboard!$F$5</f>
        <v/>
      </c>
      <c r="I47" s="8">
        <f>G47*H47</f>
        <v/>
      </c>
      <c r="J47" s="8" t="n">
        <v>954</v>
      </c>
      <c r="K47" s="8">
        <f>J47*Dashboard!$L$5*(1-Dashboard!$J$5*0.35)</f>
        <v/>
      </c>
      <c r="L47" s="8">
        <f>K47*Inputs!$I$5</f>
        <v/>
      </c>
      <c r="M47" t="n">
        <v>13.5</v>
      </c>
      <c r="N47" s="74">
        <f>M47*(1-Dashboard!$J$5)</f>
        <v/>
      </c>
      <c r="O47">
        <f>IF(N47&lt;=Inputs!$I$7,"Verde",IF(N47&lt;=Inputs!$I$7+2,"Amarillo","Rojo"))</f>
        <v/>
      </c>
      <c r="P47" s="8">
        <f>I47-L47</f>
        <v/>
      </c>
      <c r="Q47">
        <f>IF(G47&gt;=Inputs!$I$8,"Verde",IF(G47&gt;=Inputs!$I$8*0.85,"Amarillo","Rojo"))</f>
        <v/>
      </c>
      <c r="R47" t="n">
        <v>8</v>
      </c>
    </row>
    <row r="48">
      <c r="A48" s="73" t="n">
        <v>46250</v>
      </c>
      <c r="B48" t="n">
        <v>7</v>
      </c>
      <c r="C48" t="inlineStr">
        <is>
          <t>Aug</t>
        </is>
      </c>
      <c r="D48" t="inlineStr">
        <is>
          <t>LA504</t>
        </is>
      </c>
      <c r="E48" t="inlineStr">
        <is>
          <t>Santiago - Miami</t>
        </is>
      </c>
      <c r="F48" t="n">
        <v>22</v>
      </c>
      <c r="G48">
        <f>MAX(0,ROUND(F48*Dashboard!$H$5,0))</f>
        <v/>
      </c>
      <c r="H48" s="8">
        <f>Dashboard!$F$5</f>
        <v/>
      </c>
      <c r="I48" s="8">
        <f>G48*H48</f>
        <v/>
      </c>
      <c r="J48" s="8" t="n">
        <v>937</v>
      </c>
      <c r="K48" s="8">
        <f>J48*Dashboard!$L$5*(1-Dashboard!$J$5*0.35)</f>
        <v/>
      </c>
      <c r="L48" s="8">
        <f>K48*Inputs!$I$5</f>
        <v/>
      </c>
      <c r="M48" t="n">
        <v>12.7</v>
      </c>
      <c r="N48" s="74">
        <f>M48*(1-Dashboard!$J$5)</f>
        <v/>
      </c>
      <c r="O48">
        <f>IF(N48&lt;=Inputs!$I$7,"Verde",IF(N48&lt;=Inputs!$I$7+2,"Amarillo","Rojo"))</f>
        <v/>
      </c>
      <c r="P48" s="8">
        <f>I48-L48</f>
        <v/>
      </c>
      <c r="Q48">
        <f>IF(G48&gt;=Inputs!$I$8,"Verde",IF(G48&gt;=Inputs!$I$8*0.85,"Amarillo","Rojo"))</f>
        <v/>
      </c>
      <c r="R48" t="n">
        <v>4</v>
      </c>
    </row>
    <row r="49">
      <c r="A49" s="73" t="n">
        <v>46251</v>
      </c>
      <c r="B49" t="n">
        <v>7</v>
      </c>
      <c r="C49" t="inlineStr">
        <is>
          <t>Aug</t>
        </is>
      </c>
      <c r="D49" t="inlineStr">
        <is>
          <t>LA505</t>
        </is>
      </c>
      <c r="E49" t="inlineStr">
        <is>
          <t>Santiago - Miami</t>
        </is>
      </c>
      <c r="F49" t="n">
        <v>22</v>
      </c>
      <c r="G49">
        <f>MAX(0,ROUND(F49*Dashboard!$H$5,0))</f>
        <v/>
      </c>
      <c r="H49" s="8">
        <f>Dashboard!$F$5</f>
        <v/>
      </c>
      <c r="I49" s="8">
        <f>G49*H49</f>
        <v/>
      </c>
      <c r="J49" s="8" t="n">
        <v>925</v>
      </c>
      <c r="K49" s="8">
        <f>J49*Dashboard!$L$5*(1-Dashboard!$J$5*0.35)</f>
        <v/>
      </c>
      <c r="L49" s="8">
        <f>K49*Inputs!$I$5</f>
        <v/>
      </c>
      <c r="M49" t="n">
        <v>11.3</v>
      </c>
      <c r="N49" s="74">
        <f>M49*(1-Dashboard!$J$5)</f>
        <v/>
      </c>
      <c r="O49">
        <f>IF(N49&lt;=Inputs!$I$7,"Verde",IF(N49&lt;=Inputs!$I$7+2,"Amarillo","Rojo"))</f>
        <v/>
      </c>
      <c r="P49" s="8">
        <f>I49-L49</f>
        <v/>
      </c>
      <c r="Q49">
        <f>IF(G49&gt;=Inputs!$I$8,"Verde",IF(G49&gt;=Inputs!$I$8*0.85,"Amarillo","Rojo"))</f>
        <v/>
      </c>
      <c r="R49" t="n">
        <v>12</v>
      </c>
    </row>
    <row r="50">
      <c r="A50" s="73" t="n">
        <v>46252</v>
      </c>
      <c r="B50" t="n">
        <v>7</v>
      </c>
      <c r="C50" t="inlineStr">
        <is>
          <t>Aug</t>
        </is>
      </c>
      <c r="D50" t="inlineStr">
        <is>
          <t>LA506</t>
        </is>
      </c>
      <c r="E50" t="inlineStr">
        <is>
          <t>Santiago - Miami</t>
        </is>
      </c>
      <c r="F50" t="n">
        <v>22</v>
      </c>
      <c r="G50">
        <f>MAX(0,ROUND(F50*Dashboard!$H$5,0))</f>
        <v/>
      </c>
      <c r="H50" s="8">
        <f>Dashboard!$F$5</f>
        <v/>
      </c>
      <c r="I50" s="8">
        <f>G50*H50</f>
        <v/>
      </c>
      <c r="J50" s="8" t="n">
        <v>960</v>
      </c>
      <c r="K50" s="8">
        <f>J50*Dashboard!$L$5*(1-Dashboard!$J$5*0.35)</f>
        <v/>
      </c>
      <c r="L50" s="8">
        <f>K50*Inputs!$I$5</f>
        <v/>
      </c>
      <c r="M50" t="n">
        <v>10.2</v>
      </c>
      <c r="N50" s="74">
        <f>M50*(1-Dashboard!$J$5)</f>
        <v/>
      </c>
      <c r="O50">
        <f>IF(N50&lt;=Inputs!$I$7,"Verde",IF(N50&lt;=Inputs!$I$7+2,"Amarillo","Rojo"))</f>
        <v/>
      </c>
      <c r="P50" s="8">
        <f>I50-L50</f>
        <v/>
      </c>
      <c r="Q50">
        <f>IF(G50&gt;=Inputs!$I$8,"Verde",IF(G50&gt;=Inputs!$I$8*0.85,"Amarillo","Rojo"))</f>
        <v/>
      </c>
      <c r="R50" t="n">
        <v>4</v>
      </c>
    </row>
    <row r="51">
      <c r="A51" s="73" t="n">
        <v>46253</v>
      </c>
      <c r="B51" t="n">
        <v>8</v>
      </c>
      <c r="C51" t="inlineStr">
        <is>
          <t>Aug</t>
        </is>
      </c>
      <c r="D51" t="inlineStr">
        <is>
          <t>LA500</t>
        </is>
      </c>
      <c r="E51" t="inlineStr">
        <is>
          <t>Santiago - Miami</t>
        </is>
      </c>
      <c r="F51" t="n">
        <v>25</v>
      </c>
      <c r="G51">
        <f>MAX(0,ROUND(F51*Dashboard!$H$5,0))</f>
        <v/>
      </c>
      <c r="H51" s="8">
        <f>Dashboard!$F$5</f>
        <v/>
      </c>
      <c r="I51" s="8">
        <f>G51*H51</f>
        <v/>
      </c>
      <c r="J51" s="8" t="n">
        <v>838</v>
      </c>
      <c r="K51" s="8">
        <f>J51*Dashboard!$L$5*(1-Dashboard!$J$5*0.35)</f>
        <v/>
      </c>
      <c r="L51" s="8">
        <f>K51*Inputs!$I$5</f>
        <v/>
      </c>
      <c r="M51" t="n">
        <v>10.5</v>
      </c>
      <c r="N51" s="74">
        <f>M51*(1-Dashboard!$J$5)</f>
        <v/>
      </c>
      <c r="O51">
        <f>IF(N51&lt;=Inputs!$I$7,"Verde",IF(N51&lt;=Inputs!$I$7+2,"Amarillo","Rojo"))</f>
        <v/>
      </c>
      <c r="P51" s="8">
        <f>I51-L51</f>
        <v/>
      </c>
      <c r="Q51">
        <f>IF(G51&gt;=Inputs!$I$8,"Verde",IF(G51&gt;=Inputs!$I$8*0.85,"Amarillo","Rojo"))</f>
        <v/>
      </c>
      <c r="R51" t="n">
        <v>7</v>
      </c>
    </row>
    <row r="52">
      <c r="A52" s="73" t="n">
        <v>46254</v>
      </c>
      <c r="B52" t="n">
        <v>8</v>
      </c>
      <c r="C52" t="inlineStr">
        <is>
          <t>Aug</t>
        </is>
      </c>
      <c r="D52" t="inlineStr">
        <is>
          <t>LA501</t>
        </is>
      </c>
      <c r="E52" t="inlineStr">
        <is>
          <t>Santiago - Miami</t>
        </is>
      </c>
      <c r="F52" t="n">
        <v>28</v>
      </c>
      <c r="G52">
        <f>MAX(0,ROUND(F52*Dashboard!$H$5,0))</f>
        <v/>
      </c>
      <c r="H52" s="8">
        <f>Dashboard!$F$5</f>
        <v/>
      </c>
      <c r="I52" s="8">
        <f>G52*H52</f>
        <v/>
      </c>
      <c r="J52" s="8" t="n">
        <v>876</v>
      </c>
      <c r="K52" s="8">
        <f>J52*Dashboard!$L$5*(1-Dashboard!$J$5*0.35)</f>
        <v/>
      </c>
      <c r="L52" s="8">
        <f>K52*Inputs!$I$5</f>
        <v/>
      </c>
      <c r="M52" t="n">
        <v>9.699999999999999</v>
      </c>
      <c r="N52" s="74">
        <f>M52*(1-Dashboard!$J$5)</f>
        <v/>
      </c>
      <c r="O52">
        <f>IF(N52&lt;=Inputs!$I$7,"Verde",IF(N52&lt;=Inputs!$I$7+2,"Amarillo","Rojo"))</f>
        <v/>
      </c>
      <c r="P52" s="8">
        <f>I52-L52</f>
        <v/>
      </c>
      <c r="Q52">
        <f>IF(G52&gt;=Inputs!$I$8,"Verde",IF(G52&gt;=Inputs!$I$8*0.85,"Amarillo","Rojo"))</f>
        <v/>
      </c>
      <c r="R52" t="n">
        <v>3</v>
      </c>
    </row>
    <row r="53">
      <c r="A53" s="73" t="n">
        <v>46255</v>
      </c>
      <c r="B53" t="n">
        <v>8</v>
      </c>
      <c r="C53" t="inlineStr">
        <is>
          <t>Aug</t>
        </is>
      </c>
      <c r="D53" t="inlineStr">
        <is>
          <t>LA502</t>
        </is>
      </c>
      <c r="E53" t="inlineStr">
        <is>
          <t>Santiago - Miami</t>
        </is>
      </c>
      <c r="F53" t="n">
        <v>22</v>
      </c>
      <c r="G53">
        <f>MAX(0,ROUND(F53*Dashboard!$H$5,0))</f>
        <v/>
      </c>
      <c r="H53" s="8">
        <f>Dashboard!$F$5</f>
        <v/>
      </c>
      <c r="I53" s="8">
        <f>G53*H53</f>
        <v/>
      </c>
      <c r="J53" s="8" t="n">
        <v>851</v>
      </c>
      <c r="K53" s="8">
        <f>J53*Dashboard!$L$5*(1-Dashboard!$J$5*0.35)</f>
        <v/>
      </c>
      <c r="L53" s="8">
        <f>K53*Inputs!$I$5</f>
        <v/>
      </c>
      <c r="M53" t="n">
        <v>13.7</v>
      </c>
      <c r="N53" s="74">
        <f>M53*(1-Dashboard!$J$5)</f>
        <v/>
      </c>
      <c r="O53">
        <f>IF(N53&lt;=Inputs!$I$7,"Verde",IF(N53&lt;=Inputs!$I$7+2,"Amarillo","Rojo"))</f>
        <v/>
      </c>
      <c r="P53" s="8">
        <f>I53-L53</f>
        <v/>
      </c>
      <c r="Q53">
        <f>IF(G53&gt;=Inputs!$I$8,"Verde",IF(G53&gt;=Inputs!$I$8*0.85,"Amarillo","Rojo"))</f>
        <v/>
      </c>
      <c r="R53" t="n">
        <v>1</v>
      </c>
    </row>
    <row r="54">
      <c r="A54" s="73" t="n">
        <v>46256</v>
      </c>
      <c r="B54" t="n">
        <v>8</v>
      </c>
      <c r="C54" t="inlineStr">
        <is>
          <t>Aug</t>
        </is>
      </c>
      <c r="D54" t="inlineStr">
        <is>
          <t>LA503</t>
        </is>
      </c>
      <c r="E54" t="inlineStr">
        <is>
          <t>Santiago - Miami</t>
        </is>
      </c>
      <c r="F54" t="n">
        <v>27</v>
      </c>
      <c r="G54">
        <f>MAX(0,ROUND(F54*Dashboard!$H$5,0))</f>
        <v/>
      </c>
      <c r="H54" s="8">
        <f>Dashboard!$F$5</f>
        <v/>
      </c>
      <c r="I54" s="8">
        <f>G54*H54</f>
        <v/>
      </c>
      <c r="J54" s="8" t="n">
        <v>954</v>
      </c>
      <c r="K54" s="8">
        <f>J54*Dashboard!$L$5*(1-Dashboard!$J$5*0.35)</f>
        <v/>
      </c>
      <c r="L54" s="8">
        <f>K54*Inputs!$I$5</f>
        <v/>
      </c>
      <c r="M54" t="n">
        <v>11.8</v>
      </c>
      <c r="N54" s="74">
        <f>M54*(1-Dashboard!$J$5)</f>
        <v/>
      </c>
      <c r="O54">
        <f>IF(N54&lt;=Inputs!$I$7,"Verde",IF(N54&lt;=Inputs!$I$7+2,"Amarillo","Rojo"))</f>
        <v/>
      </c>
      <c r="P54" s="8">
        <f>I54-L54</f>
        <v/>
      </c>
      <c r="Q54">
        <f>IF(G54&gt;=Inputs!$I$8,"Verde",IF(G54&gt;=Inputs!$I$8*0.85,"Amarillo","Rojo"))</f>
        <v/>
      </c>
      <c r="R54" t="n">
        <v>16</v>
      </c>
    </row>
    <row r="55">
      <c r="A55" s="73" t="n">
        <v>46257</v>
      </c>
      <c r="B55" t="n">
        <v>8</v>
      </c>
      <c r="C55" t="inlineStr">
        <is>
          <t>Aug</t>
        </is>
      </c>
      <c r="D55" t="inlineStr">
        <is>
          <t>LA504</t>
        </is>
      </c>
      <c r="E55" t="inlineStr">
        <is>
          <t>Santiago - Miami</t>
        </is>
      </c>
      <c r="F55" t="n">
        <v>27</v>
      </c>
      <c r="G55">
        <f>MAX(0,ROUND(F55*Dashboard!$H$5,0))</f>
        <v/>
      </c>
      <c r="H55" s="8">
        <f>Dashboard!$F$5</f>
        <v/>
      </c>
      <c r="I55" s="8">
        <f>G55*H55</f>
        <v/>
      </c>
      <c r="J55" s="8" t="n">
        <v>897</v>
      </c>
      <c r="K55" s="8">
        <f>J55*Dashboard!$L$5*(1-Dashboard!$J$5*0.35)</f>
        <v/>
      </c>
      <c r="L55" s="8">
        <f>K55*Inputs!$I$5</f>
        <v/>
      </c>
      <c r="M55" t="n">
        <v>14.4</v>
      </c>
      <c r="N55" s="74">
        <f>M55*(1-Dashboard!$J$5)</f>
        <v/>
      </c>
      <c r="O55">
        <f>IF(N55&lt;=Inputs!$I$7,"Verde",IF(N55&lt;=Inputs!$I$7+2,"Amarillo","Rojo"))</f>
        <v/>
      </c>
      <c r="P55" s="8">
        <f>I55-L55</f>
        <v/>
      </c>
      <c r="Q55">
        <f>IF(G55&gt;=Inputs!$I$8,"Verde",IF(G55&gt;=Inputs!$I$8*0.85,"Amarillo","Rojo"))</f>
        <v/>
      </c>
      <c r="R55" t="n">
        <v>0</v>
      </c>
    </row>
    <row r="56">
      <c r="A56" s="73" t="n">
        <v>46258</v>
      </c>
      <c r="B56" t="n">
        <v>8</v>
      </c>
      <c r="C56" t="inlineStr">
        <is>
          <t>Aug</t>
        </is>
      </c>
      <c r="D56" t="inlineStr">
        <is>
          <t>LA505</t>
        </is>
      </c>
      <c r="E56" t="inlineStr">
        <is>
          <t>Santiago - Miami</t>
        </is>
      </c>
      <c r="F56" t="n">
        <v>28</v>
      </c>
      <c r="G56">
        <f>MAX(0,ROUND(F56*Dashboard!$H$5,0))</f>
        <v/>
      </c>
      <c r="H56" s="8">
        <f>Dashboard!$F$5</f>
        <v/>
      </c>
      <c r="I56" s="8">
        <f>G56*H56</f>
        <v/>
      </c>
      <c r="J56" s="8" t="n">
        <v>873</v>
      </c>
      <c r="K56" s="8">
        <f>J56*Dashboard!$L$5*(1-Dashboard!$J$5*0.35)</f>
        <v/>
      </c>
      <c r="L56" s="8">
        <f>K56*Inputs!$I$5</f>
        <v/>
      </c>
      <c r="M56" t="n">
        <v>11.4</v>
      </c>
      <c r="N56" s="74">
        <f>M56*(1-Dashboard!$J$5)</f>
        <v/>
      </c>
      <c r="O56">
        <f>IF(N56&lt;=Inputs!$I$7,"Verde",IF(N56&lt;=Inputs!$I$7+2,"Amarillo","Rojo"))</f>
        <v/>
      </c>
      <c r="P56" s="8">
        <f>I56-L56</f>
        <v/>
      </c>
      <c r="Q56">
        <f>IF(G56&gt;=Inputs!$I$8,"Verde",IF(G56&gt;=Inputs!$I$8*0.85,"Amarillo","Rojo"))</f>
        <v/>
      </c>
      <c r="R56" t="n">
        <v>26</v>
      </c>
    </row>
    <row r="57">
      <c r="A57" s="73" t="n">
        <v>46259</v>
      </c>
      <c r="B57" t="n">
        <v>8</v>
      </c>
      <c r="C57" t="inlineStr">
        <is>
          <t>Aug</t>
        </is>
      </c>
      <c r="D57" t="inlineStr">
        <is>
          <t>LA506</t>
        </is>
      </c>
      <c r="E57" t="inlineStr">
        <is>
          <t>Santiago - Miami</t>
        </is>
      </c>
      <c r="F57" t="n">
        <v>28</v>
      </c>
      <c r="G57">
        <f>MAX(0,ROUND(F57*Dashboard!$H$5,0))</f>
        <v/>
      </c>
      <c r="H57" s="8">
        <f>Dashboard!$F$5</f>
        <v/>
      </c>
      <c r="I57" s="8">
        <f>G57*H57</f>
        <v/>
      </c>
      <c r="J57" s="8" t="n">
        <v>915</v>
      </c>
      <c r="K57" s="8">
        <f>J57*Dashboard!$L$5*(1-Dashboard!$J$5*0.35)</f>
        <v/>
      </c>
      <c r="L57" s="8">
        <f>K57*Inputs!$I$5</f>
        <v/>
      </c>
      <c r="M57" t="n">
        <v>10.2</v>
      </c>
      <c r="N57" s="74">
        <f>M57*(1-Dashboard!$J$5)</f>
        <v/>
      </c>
      <c r="O57">
        <f>IF(N57&lt;=Inputs!$I$7,"Verde",IF(N57&lt;=Inputs!$I$7+2,"Amarillo","Rojo"))</f>
        <v/>
      </c>
      <c r="P57" s="8">
        <f>I57-L57</f>
        <v/>
      </c>
      <c r="Q57">
        <f>IF(G57&gt;=Inputs!$I$8,"Verde",IF(G57&gt;=Inputs!$I$8*0.85,"Amarillo","Rojo"))</f>
        <v/>
      </c>
      <c r="R57" t="n">
        <v>2</v>
      </c>
    </row>
    <row r="58">
      <c r="A58" s="73" t="n">
        <v>46260</v>
      </c>
      <c r="B58" t="n">
        <v>9</v>
      </c>
      <c r="C58" t="inlineStr">
        <is>
          <t>Aug</t>
        </is>
      </c>
      <c r="D58" t="inlineStr">
        <is>
          <t>LA500</t>
        </is>
      </c>
      <c r="E58" t="inlineStr">
        <is>
          <t>Santiago - Miami</t>
        </is>
      </c>
      <c r="F58" t="n">
        <v>20</v>
      </c>
      <c r="G58">
        <f>MAX(0,ROUND(F58*Dashboard!$H$5,0))</f>
        <v/>
      </c>
      <c r="H58" s="8">
        <f>Dashboard!$F$5</f>
        <v/>
      </c>
      <c r="I58" s="8">
        <f>G58*H58</f>
        <v/>
      </c>
      <c r="J58" s="8" t="n">
        <v>916</v>
      </c>
      <c r="K58" s="8">
        <f>J58*Dashboard!$L$5*(1-Dashboard!$J$5*0.35)</f>
        <v/>
      </c>
      <c r="L58" s="8">
        <f>K58*Inputs!$I$5</f>
        <v/>
      </c>
      <c r="M58" t="n">
        <v>12.3</v>
      </c>
      <c r="N58" s="74">
        <f>M58*(1-Dashboard!$J$5)</f>
        <v/>
      </c>
      <c r="O58">
        <f>IF(N58&lt;=Inputs!$I$7,"Verde",IF(N58&lt;=Inputs!$I$7+2,"Amarillo","Rojo"))</f>
        <v/>
      </c>
      <c r="P58" s="8">
        <f>I58-L58</f>
        <v/>
      </c>
      <c r="Q58">
        <f>IF(G58&gt;=Inputs!$I$8,"Verde",IF(G58&gt;=Inputs!$I$8*0.85,"Amarillo","Rojo"))</f>
        <v/>
      </c>
      <c r="R58" t="n">
        <v>0</v>
      </c>
    </row>
    <row r="59">
      <c r="A59" s="73" t="n">
        <v>46261</v>
      </c>
      <c r="B59" t="n">
        <v>9</v>
      </c>
      <c r="C59" t="inlineStr">
        <is>
          <t>Aug</t>
        </is>
      </c>
      <c r="D59" t="inlineStr">
        <is>
          <t>LA501</t>
        </is>
      </c>
      <c r="E59" t="inlineStr">
        <is>
          <t>Santiago - Miami</t>
        </is>
      </c>
      <c r="F59" t="n">
        <v>17</v>
      </c>
      <c r="G59">
        <f>MAX(0,ROUND(F59*Dashboard!$H$5,0))</f>
        <v/>
      </c>
      <c r="H59" s="8">
        <f>Dashboard!$F$5</f>
        <v/>
      </c>
      <c r="I59" s="8">
        <f>G59*H59</f>
        <v/>
      </c>
      <c r="J59" s="8" t="n">
        <v>930</v>
      </c>
      <c r="K59" s="8">
        <f>J59*Dashboard!$L$5*(1-Dashboard!$J$5*0.35)</f>
        <v/>
      </c>
      <c r="L59" s="8">
        <f>K59*Inputs!$I$5</f>
        <v/>
      </c>
      <c r="M59" t="n">
        <v>12.3</v>
      </c>
      <c r="N59" s="74">
        <f>M59*(1-Dashboard!$J$5)</f>
        <v/>
      </c>
      <c r="O59">
        <f>IF(N59&lt;=Inputs!$I$7,"Verde",IF(N59&lt;=Inputs!$I$7+2,"Amarillo","Rojo"))</f>
        <v/>
      </c>
      <c r="P59" s="8">
        <f>I59-L59</f>
        <v/>
      </c>
      <c r="Q59">
        <f>IF(G59&gt;=Inputs!$I$8,"Verde",IF(G59&gt;=Inputs!$I$8*0.85,"Amarillo","Rojo"))</f>
        <v/>
      </c>
      <c r="R59" t="n">
        <v>5</v>
      </c>
    </row>
    <row r="60">
      <c r="A60" s="73" t="n">
        <v>46262</v>
      </c>
      <c r="B60" t="n">
        <v>9</v>
      </c>
      <c r="C60" t="inlineStr">
        <is>
          <t>Aug</t>
        </is>
      </c>
      <c r="D60" t="inlineStr">
        <is>
          <t>LA502</t>
        </is>
      </c>
      <c r="E60" t="inlineStr">
        <is>
          <t>Santiago - Miami</t>
        </is>
      </c>
      <c r="F60" t="n">
        <v>25</v>
      </c>
      <c r="G60">
        <f>MAX(0,ROUND(F60*Dashboard!$H$5,0))</f>
        <v/>
      </c>
      <c r="H60" s="8">
        <f>Dashboard!$F$5</f>
        <v/>
      </c>
      <c r="I60" s="8">
        <f>G60*H60</f>
        <v/>
      </c>
      <c r="J60" s="8" t="n">
        <v>848</v>
      </c>
      <c r="K60" s="8">
        <f>J60*Dashboard!$L$5*(1-Dashboard!$J$5*0.35)</f>
        <v/>
      </c>
      <c r="L60" s="8">
        <f>K60*Inputs!$I$5</f>
        <v/>
      </c>
      <c r="M60" t="n">
        <v>10</v>
      </c>
      <c r="N60" s="74">
        <f>M60*(1-Dashboard!$J$5)</f>
        <v/>
      </c>
      <c r="O60">
        <f>IF(N60&lt;=Inputs!$I$7,"Verde",IF(N60&lt;=Inputs!$I$7+2,"Amarillo","Rojo"))</f>
        <v/>
      </c>
      <c r="P60" s="8">
        <f>I60-L60</f>
        <v/>
      </c>
      <c r="Q60">
        <f>IF(G60&gt;=Inputs!$I$8,"Verde",IF(G60&gt;=Inputs!$I$8*0.85,"Amarillo","Rojo"))</f>
        <v/>
      </c>
      <c r="R60" t="n">
        <v>10</v>
      </c>
    </row>
    <row r="61">
      <c r="A61" s="73" t="n">
        <v>46263</v>
      </c>
      <c r="B61" t="n">
        <v>9</v>
      </c>
      <c r="C61" t="inlineStr">
        <is>
          <t>Aug</t>
        </is>
      </c>
      <c r="D61" t="inlineStr">
        <is>
          <t>LA503</t>
        </is>
      </c>
      <c r="E61" t="inlineStr">
        <is>
          <t>Santiago - Miami</t>
        </is>
      </c>
      <c r="F61" t="n">
        <v>19</v>
      </c>
      <c r="G61">
        <f>MAX(0,ROUND(F61*Dashboard!$H$5,0))</f>
        <v/>
      </c>
      <c r="H61" s="8">
        <f>Dashboard!$F$5</f>
        <v/>
      </c>
      <c r="I61" s="8">
        <f>G61*H61</f>
        <v/>
      </c>
      <c r="J61" s="8" t="n">
        <v>946</v>
      </c>
      <c r="K61" s="8">
        <f>J61*Dashboard!$L$5*(1-Dashboard!$J$5*0.35)</f>
        <v/>
      </c>
      <c r="L61" s="8">
        <f>K61*Inputs!$I$5</f>
        <v/>
      </c>
      <c r="M61" t="n">
        <v>12.4</v>
      </c>
      <c r="N61" s="74">
        <f>M61*(1-Dashboard!$J$5)</f>
        <v/>
      </c>
      <c r="O61">
        <f>IF(N61&lt;=Inputs!$I$7,"Verde",IF(N61&lt;=Inputs!$I$7+2,"Amarillo","Rojo"))</f>
        <v/>
      </c>
      <c r="P61" s="8">
        <f>I61-L61</f>
        <v/>
      </c>
      <c r="Q61">
        <f>IF(G61&gt;=Inputs!$I$8,"Verde",IF(G61&gt;=Inputs!$I$8*0.85,"Amarillo","Rojo"))</f>
        <v/>
      </c>
      <c r="R61" t="n">
        <v>7</v>
      </c>
    </row>
  </sheetData>
  <conditionalFormatting sqref="O2:O61">
    <cfRule type="expression" priority="7" dxfId="4">
      <formula>O2="Rojo"</formula>
    </cfRule>
    <cfRule type="expression" priority="8" dxfId="3">
      <formula>O2="Amarillo"</formula>
    </cfRule>
    <cfRule type="expression" priority="9" dxfId="2">
      <formula>O2="Verde"</formula>
    </cfRule>
  </conditionalFormatting>
  <conditionalFormatting sqref="Q2:Q61">
    <cfRule type="expression" priority="4" dxfId="4">
      <formula>Q2="Rojo"</formula>
    </cfRule>
    <cfRule type="expression" priority="5" dxfId="3">
      <formula>Q2="Amarillo"</formula>
    </cfRule>
    <cfRule type="expression" priority="6" dxfId="2">
      <formula>Q2="Verde"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topLeftCell="H1" workbookViewId="0">
      <selection activeCell="A1" sqref="A1"/>
    </sheetView>
  </sheetViews>
  <sheetFormatPr baseColWidth="10" defaultColWidth="8.796875" defaultRowHeight="13.8"/>
  <cols>
    <col width="9.09765625" customWidth="1" style="72" min="1" max="1"/>
    <col width="17.3984375" customWidth="1" style="72" min="2" max="2"/>
    <col width="16.5" customWidth="1" style="72" min="3" max="3"/>
    <col width="15.19921875" customWidth="1" style="72" min="4" max="4"/>
    <col width="14.296875" customWidth="1" style="72" min="5" max="5"/>
    <col width="14.5" customWidth="1" style="72" min="6" max="6"/>
    <col width="13.5" customWidth="1" style="72" min="7" max="7"/>
    <col width="18" customWidth="1" style="72" min="8" max="8"/>
    <col width="12.796875" customWidth="1" style="72" min="9" max="9"/>
    <col width="9.69921875" customWidth="1" style="72" min="10" max="10"/>
    <col width="16.5" customWidth="1" style="72" min="11" max="11"/>
    <col width="15.19921875" customWidth="1" style="72" min="12" max="12"/>
    <col width="10.8984375" customWidth="1" style="72" min="13" max="13"/>
    <col width="13.5" customWidth="1" style="72" min="14" max="14"/>
  </cols>
  <sheetData>
    <row r="1">
      <c r="A1" s="36" t="inlineStr">
        <is>
          <t>Semana</t>
        </is>
      </c>
      <c r="B1" s="36" t="inlineStr">
        <is>
          <t>Asientos Eco-Corp</t>
        </is>
      </c>
      <c r="C1" s="36" t="inlineStr">
        <is>
          <t>Ingreso Premium</t>
        </is>
      </c>
      <c r="D1" s="36" t="inlineStr">
        <is>
          <t>Sobrecosto SAF</t>
        </is>
      </c>
      <c r="E1" s="36" t="inlineStr">
        <is>
          <t>Cobertura SAF</t>
        </is>
      </c>
      <c r="F1" s="36" t="inlineStr">
        <is>
          <t>APU Promedio</t>
        </is>
      </c>
      <c r="G1" s="36" t="inlineStr">
        <is>
          <t>Margen Neto</t>
        </is>
      </c>
      <c r="I1" s="36" t="inlineStr">
        <is>
          <t>Escenario</t>
        </is>
      </c>
      <c r="J1" s="36" t="inlineStr">
        <is>
          <t>Asientos</t>
        </is>
      </c>
      <c r="K1" s="36" t="inlineStr">
        <is>
          <t>Ingreso Premium</t>
        </is>
      </c>
      <c r="L1" s="36" t="inlineStr">
        <is>
          <t>Sobrecosto SAF</t>
        </is>
      </c>
      <c r="M1" s="36" t="inlineStr">
        <is>
          <t>Cobertura</t>
        </is>
      </c>
      <c r="N1" s="36" t="inlineStr">
        <is>
          <t>Margen Neto</t>
        </is>
      </c>
    </row>
    <row r="2">
      <c r="A2" t="n">
        <v>1</v>
      </c>
      <c r="B2" s="8">
        <f>SUMIFS(Data_Dinamica!$G$2:$G$61,Data_Dinamica!$B$2:$B$61,A2)</f>
        <v/>
      </c>
      <c r="C2" s="8">
        <f>SUMIFS(Data_Dinamica!$I$2:$I$61,Data_Dinamica!$B$2:$B$61,A2)</f>
        <v/>
      </c>
      <c r="D2" s="8">
        <f>SUMIFS(Data_Dinamica!$L$2:$L$61,Data_Dinamica!$B$2:$B$61,A2)</f>
        <v/>
      </c>
      <c r="E2" s="75">
        <f>IF(D2=0,0,C2/D2)</f>
        <v/>
      </c>
      <c r="F2" s="74">
        <f>IFERROR(AVERAGEIFS(Data_Dinamica!$N$2:$N$61,Data_Dinamica!$B$2:$B$61,A2),0)</f>
        <v/>
      </c>
      <c r="G2" s="8">
        <f>C2-D2</f>
        <v/>
      </c>
      <c r="I2" t="inlineStr">
        <is>
          <t>Base</t>
        </is>
      </c>
      <c r="J2" s="8">
        <f>ROUND(SUM(Data_Dinamica!$F$2:$F$61)*INDEX(Inputs!$B$2:$B$6,MATCH(I2,Inputs!$A$2:$A$6,0)),0)</f>
        <v/>
      </c>
      <c r="K2" s="8">
        <f>J2*INDEX(Inputs!$C$2:$C$6,MATCH(I2,Inputs!$A$2:$A$6,0))</f>
        <v/>
      </c>
      <c r="L2" s="8">
        <f>SUM(Data_Dinamica!$J$2:$J$61)*INDEX(Inputs!$E$2:$E$6,MATCH(I2,Inputs!$A$2:$A$6,0))*(1-INDEX(Inputs!$D$2:$D$6,MATCH(I2,Inputs!$A$2:$A$6,0))*0.35)*Inputs!$I$5</f>
        <v/>
      </c>
      <c r="M2" s="75">
        <f>IF(L2=0,0,K2/L2)</f>
        <v/>
      </c>
      <c r="N2" s="8">
        <f>K2-L2</f>
        <v/>
      </c>
    </row>
    <row r="3">
      <c r="A3" t="n">
        <v>2</v>
      </c>
      <c r="B3" s="8">
        <f>SUMIFS(Data_Dinamica!$G$2:$G$61,Data_Dinamica!$B$2:$B$61,A3)</f>
        <v/>
      </c>
      <c r="C3" s="8">
        <f>SUMIFS(Data_Dinamica!$I$2:$I$61,Data_Dinamica!$B$2:$B$61,A3)</f>
        <v/>
      </c>
      <c r="D3" s="8">
        <f>SUMIFS(Data_Dinamica!$L$2:$L$61,Data_Dinamica!$B$2:$B$61,A3)</f>
        <v/>
      </c>
      <c r="E3" s="75">
        <f>IF(D3=0,0,C3/D3)</f>
        <v/>
      </c>
      <c r="F3" s="74">
        <f>IFERROR(AVERAGEIFS(Data_Dinamica!$N$2:$N$61,Data_Dinamica!$B$2:$B$61,A3),0)</f>
        <v/>
      </c>
      <c r="G3" s="8">
        <f>C3-D3</f>
        <v/>
      </c>
      <c r="I3" t="inlineStr">
        <is>
          <t>Conservador</t>
        </is>
      </c>
      <c r="J3" s="8">
        <f>ROUND(SUM(Data_Dinamica!$F$2:$F$61)*INDEX(Inputs!$B$2:$B$6,MATCH(I3,Inputs!$A$2:$A$6,0)),0)</f>
        <v/>
      </c>
      <c r="K3" s="8">
        <f>J3*INDEX(Inputs!$C$2:$C$6,MATCH(I3,Inputs!$A$2:$A$6,0))</f>
        <v/>
      </c>
      <c r="L3" s="8">
        <f>SUM(Data_Dinamica!$J$2:$J$61)*INDEX(Inputs!$E$2:$E$6,MATCH(I3,Inputs!$A$2:$A$6,0))*(1-INDEX(Inputs!$D$2:$D$6,MATCH(I3,Inputs!$A$2:$A$6,0))*0.35)*Inputs!$I$5</f>
        <v/>
      </c>
      <c r="M3" s="75">
        <f>IF(L3=0,0,K3/L3)</f>
        <v/>
      </c>
      <c r="N3" s="8">
        <f>K3-L3</f>
        <v/>
      </c>
    </row>
    <row r="4">
      <c r="A4" t="n">
        <v>3</v>
      </c>
      <c r="B4" s="8">
        <f>SUMIFS(Data_Dinamica!$G$2:$G$61,Data_Dinamica!$B$2:$B$61,A4)</f>
        <v/>
      </c>
      <c r="C4" s="8">
        <f>SUMIFS(Data_Dinamica!$I$2:$I$61,Data_Dinamica!$B$2:$B$61,A4)</f>
        <v/>
      </c>
      <c r="D4" s="8">
        <f>SUMIFS(Data_Dinamica!$L$2:$L$61,Data_Dinamica!$B$2:$B$61,A4)</f>
        <v/>
      </c>
      <c r="E4" s="75">
        <f>IF(D4=0,0,C4/D4)</f>
        <v/>
      </c>
      <c r="F4" s="74">
        <f>IFERROR(AVERAGEIFS(Data_Dinamica!$N$2:$N$61,Data_Dinamica!$B$2:$B$61,A4),0)</f>
        <v/>
      </c>
      <c r="G4" s="8">
        <f>C4-D4</f>
        <v/>
      </c>
      <c r="I4" t="inlineStr">
        <is>
          <t>Optimista</t>
        </is>
      </c>
      <c r="J4" s="8">
        <f>ROUND(SUM(Data_Dinamica!$F$2:$F$61)*INDEX(Inputs!$B$2:$B$6,MATCH(I4,Inputs!$A$2:$A$6,0)),0)</f>
        <v/>
      </c>
      <c r="K4" s="8">
        <f>J4*INDEX(Inputs!$C$2:$C$6,MATCH(I4,Inputs!$A$2:$A$6,0))</f>
        <v/>
      </c>
      <c r="L4" s="8">
        <f>SUM(Data_Dinamica!$J$2:$J$61)*INDEX(Inputs!$E$2:$E$6,MATCH(I4,Inputs!$A$2:$A$6,0))*(1-INDEX(Inputs!$D$2:$D$6,MATCH(I4,Inputs!$A$2:$A$6,0))*0.35)*Inputs!$I$5</f>
        <v/>
      </c>
      <c r="M4" s="75">
        <f>IF(L4=0,0,K4/L4)</f>
        <v/>
      </c>
      <c r="N4" s="8">
        <f>K4-L4</f>
        <v/>
      </c>
    </row>
    <row r="5">
      <c r="A5" t="n">
        <v>4</v>
      </c>
      <c r="B5" s="8">
        <f>SUMIFS(Data_Dinamica!$G$2:$G$61,Data_Dinamica!$B$2:$B$61,A5)</f>
        <v/>
      </c>
      <c r="C5" s="8">
        <f>SUMIFS(Data_Dinamica!$I$2:$I$61,Data_Dinamica!$B$2:$B$61,A5)</f>
        <v/>
      </c>
      <c r="D5" s="8">
        <f>SUMIFS(Data_Dinamica!$L$2:$L$61,Data_Dinamica!$B$2:$B$61,A5)</f>
        <v/>
      </c>
      <c r="E5" s="75">
        <f>IF(D5=0,0,C5/D5)</f>
        <v/>
      </c>
      <c r="F5" s="74">
        <f>IFERROR(AVERAGEIFS(Data_Dinamica!$N$2:$N$61,Data_Dinamica!$B$2:$B$61,A5),0)</f>
        <v/>
      </c>
      <c r="G5" s="8">
        <f>C5-D5</f>
        <v/>
      </c>
      <c r="I5" t="inlineStr">
        <is>
          <t>Crisis B2B</t>
        </is>
      </c>
      <c r="J5" s="8">
        <f>ROUND(SUM(Data_Dinamica!$F$2:$F$61)*INDEX(Inputs!$B$2:$B$6,MATCH(I5,Inputs!$A$2:$A$6,0)),0)</f>
        <v/>
      </c>
      <c r="K5" s="8">
        <f>J5*INDEX(Inputs!$C$2:$C$6,MATCH(I5,Inputs!$A$2:$A$6,0))</f>
        <v/>
      </c>
      <c r="L5" s="8">
        <f>SUM(Data_Dinamica!$J$2:$J$61)*INDEX(Inputs!$E$2:$E$6,MATCH(I5,Inputs!$A$2:$A$6,0))*(1-INDEX(Inputs!$D$2:$D$6,MATCH(I5,Inputs!$A$2:$A$6,0))*0.35)*Inputs!$I$5</f>
        <v/>
      </c>
      <c r="M5" s="75">
        <f>IF(L5=0,0,K5/L5)</f>
        <v/>
      </c>
      <c r="N5" s="8">
        <f>K5-L5</f>
        <v/>
      </c>
    </row>
    <row r="6">
      <c r="A6" t="n">
        <v>5</v>
      </c>
      <c r="B6" s="8">
        <f>SUMIFS(Data_Dinamica!$G$2:$G$61,Data_Dinamica!$B$2:$B$61,A6)</f>
        <v/>
      </c>
      <c r="C6" s="8">
        <f>SUMIFS(Data_Dinamica!$I$2:$I$61,Data_Dinamica!$B$2:$B$61,A6)</f>
        <v/>
      </c>
      <c r="D6" s="8">
        <f>SUMIFS(Data_Dinamica!$L$2:$L$61,Data_Dinamica!$B$2:$B$61,A6)</f>
        <v/>
      </c>
      <c r="E6" s="75">
        <f>IF(D6=0,0,C6/D6)</f>
        <v/>
      </c>
      <c r="F6" s="74">
        <f>IFERROR(AVERAGEIFS(Data_Dinamica!$N$2:$N$61,Data_Dinamica!$B$2:$B$61,A6),0)</f>
        <v/>
      </c>
      <c r="G6" s="8">
        <f>C6-D6</f>
        <v/>
      </c>
      <c r="I6" t="inlineStr">
        <is>
          <t>Eficiencia Green</t>
        </is>
      </c>
      <c r="J6" s="8">
        <f>ROUND(SUM(Data_Dinamica!$F$2:$F$61)*INDEX(Inputs!$B$2:$B$6,MATCH(I6,Inputs!$A$2:$A$6,0)),0)</f>
        <v/>
      </c>
      <c r="K6" s="8">
        <f>J6*INDEX(Inputs!$C$2:$C$6,MATCH(I6,Inputs!$A$2:$A$6,0))</f>
        <v/>
      </c>
      <c r="L6" s="8">
        <f>SUM(Data_Dinamica!$J$2:$J$61)*INDEX(Inputs!$E$2:$E$6,MATCH(I6,Inputs!$A$2:$A$6,0))*(1-INDEX(Inputs!$D$2:$D$6,MATCH(I6,Inputs!$A$2:$A$6,0))*0.35)*Inputs!$I$5</f>
        <v/>
      </c>
      <c r="M6" s="75">
        <f>IF(L6=0,0,K6/L6)</f>
        <v/>
      </c>
      <c r="N6" s="8">
        <f>K6-L6</f>
        <v/>
      </c>
    </row>
    <row r="7">
      <c r="A7" t="n">
        <v>6</v>
      </c>
      <c r="B7" s="8">
        <f>SUMIFS(Data_Dinamica!$G$2:$G$61,Data_Dinamica!$B$2:$B$61,A7)</f>
        <v/>
      </c>
      <c r="C7" s="8">
        <f>SUMIFS(Data_Dinamica!$I$2:$I$61,Data_Dinamica!$B$2:$B$61,A7)</f>
        <v/>
      </c>
      <c r="D7" s="8">
        <f>SUMIFS(Data_Dinamica!$L$2:$L$61,Data_Dinamica!$B$2:$B$61,A7)</f>
        <v/>
      </c>
      <c r="E7" s="75">
        <f>IF(D7=0,0,C7/D7)</f>
        <v/>
      </c>
      <c r="F7" s="74">
        <f>IFERROR(AVERAGEIFS(Data_Dinamica!$N$2:$N$61,Data_Dinamica!$B$2:$B$61,A7),0)</f>
        <v/>
      </c>
      <c r="G7" s="8">
        <f>C7-D7</f>
        <v/>
      </c>
    </row>
    <row r="8">
      <c r="A8" t="n">
        <v>7</v>
      </c>
      <c r="B8" s="8">
        <f>SUMIFS(Data_Dinamica!$G$2:$G$61,Data_Dinamica!$B$2:$B$61,A8)</f>
        <v/>
      </c>
      <c r="C8" s="8">
        <f>SUMIFS(Data_Dinamica!$I$2:$I$61,Data_Dinamica!$B$2:$B$61,A8)</f>
        <v/>
      </c>
      <c r="D8" s="8">
        <f>SUMIFS(Data_Dinamica!$L$2:$L$61,Data_Dinamica!$B$2:$B$61,A8)</f>
        <v/>
      </c>
      <c r="E8" s="75">
        <f>IF(D8=0,0,C8/D8)</f>
        <v/>
      </c>
      <c r="F8" s="74">
        <f>IFERROR(AVERAGEIFS(Data_Dinamica!$N$2:$N$61,Data_Dinamica!$B$2:$B$61,A8),0)</f>
        <v/>
      </c>
      <c r="G8" s="8">
        <f>C8-D8</f>
        <v/>
      </c>
    </row>
    <row r="9">
      <c r="A9" t="n">
        <v>8</v>
      </c>
      <c r="B9" s="8">
        <f>SUMIFS(Data_Dinamica!$G$2:$G$61,Data_Dinamica!$B$2:$B$61,A9)</f>
        <v/>
      </c>
      <c r="C9" s="8">
        <f>SUMIFS(Data_Dinamica!$I$2:$I$61,Data_Dinamica!$B$2:$B$61,A9)</f>
        <v/>
      </c>
      <c r="D9" s="8">
        <f>SUMIFS(Data_Dinamica!$L$2:$L$61,Data_Dinamica!$B$2:$B$61,A9)</f>
        <v/>
      </c>
      <c r="E9" s="75">
        <f>IF(D9=0,0,C9/D9)</f>
        <v/>
      </c>
      <c r="F9" s="74">
        <f>IFERROR(AVERAGEIFS(Data_Dinamica!$N$2:$N$61,Data_Dinamica!$B$2:$B$61,A9),0)</f>
        <v/>
      </c>
      <c r="G9" s="8">
        <f>C9-D9</f>
        <v/>
      </c>
    </row>
    <row r="10">
      <c r="A10" t="n">
        <v>9</v>
      </c>
      <c r="B10" s="8">
        <f>SUMIFS(Data_Dinamica!$G$2:$G$61,Data_Dinamica!$B$2:$B$61,A10)</f>
        <v/>
      </c>
      <c r="C10" s="8">
        <f>SUMIFS(Data_Dinamica!$I$2:$I$61,Data_Dinamica!$B$2:$B$61,A10)</f>
        <v/>
      </c>
      <c r="D10" s="8">
        <f>SUMIFS(Data_Dinamica!$L$2:$L$61,Data_Dinamica!$B$2:$B$61,A10)</f>
        <v/>
      </c>
      <c r="E10" s="75">
        <f>IF(D10=0,0,C10/D10)</f>
        <v/>
      </c>
      <c r="F10" s="74">
        <f>IFERROR(AVERAGEIFS(Data_Dinamica!$N$2:$N$61,Data_Dinamica!$B$2:$B$61,A10),0)</f>
        <v/>
      </c>
      <c r="G10" s="8">
        <f>C10-D10</f>
        <v/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tabSelected="1" workbookViewId="0">
      <selection activeCell="G20" sqref="G20"/>
    </sheetView>
  </sheetViews>
  <sheetFormatPr baseColWidth="10" defaultColWidth="8.796875" defaultRowHeight="13.8"/>
  <cols>
    <col width="13" customWidth="1" style="72" min="1" max="7"/>
    <col width="14" customWidth="1" style="72" min="8" max="14"/>
  </cols>
  <sheetData>
    <row r="1" ht="20.85" customHeight="1" s="72">
      <c r="A1" s="60" t="inlineStr">
        <is>
          <t>LATAM Eco-Corporate Premium | Dashboard interactivo BSC</t>
        </is>
      </c>
    </row>
    <row r="2">
      <c r="A2" s="61" t="inlineStr">
        <is>
          <t>Ruta piloto: Santiago - Miami. Modelo para cubrir el sobrecosto SAF obligatorio con sobreprecio B2B y certificados Scope 3, manteniendo competitividad frente a Ultra-Low-Cost.</t>
        </is>
      </c>
    </row>
    <row r="3"/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5" t="inlineStr">
        <is>
          <t>Semana</t>
        </is>
      </c>
      <c r="B5" s="18" t="n">
        <v>3</v>
      </c>
      <c r="C5" s="18" t="inlineStr">
        <is>
          <t>Escenario</t>
        </is>
      </c>
      <c r="D5" s="18" t="inlineStr">
        <is>
          <t>Base</t>
        </is>
      </c>
      <c r="E5" s="15" t="inlineStr">
        <is>
          <t>Precio Premium</t>
        </is>
      </c>
      <c r="F5" s="16">
        <f>VLOOKUP($D$5,Inputs!$A$2:$E$6,3,FALSE)</f>
        <v/>
      </c>
      <c r="G5" s="15" t="inlineStr">
        <is>
          <t>Factor Adopción</t>
        </is>
      </c>
      <c r="H5" s="17">
        <f>VLOOKUP($D$5,Inputs!$A$2:$E$6,2,FALSE)</f>
        <v/>
      </c>
      <c r="I5" s="17" t="inlineStr">
        <is>
          <t>Eficiencia Green</t>
        </is>
      </c>
      <c r="J5" s="17">
        <f>VLOOKUP($D$5,Inputs!$A$2:$E$6,4,FALSE)</f>
        <v/>
      </c>
      <c r="K5" s="17" t="inlineStr">
        <is>
          <t>Factor SAF</t>
        </is>
      </c>
      <c r="L5" s="17">
        <f>VLOOKUP($D$5,Inputs!$A$2:$E$6,5,FALSE)</f>
        <v/>
      </c>
      <c r="M5" s="15" t="inlineStr">
        <is>
          <t>Estado</t>
        </is>
      </c>
      <c r="N5" s="15">
        <f>IF($A$14&lt;Inputs!$I$8*IF($B$5="Todos",60,7)*0.85,"CRISIS","OK")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</row>
    <row r="7">
      <c r="A7" s="63" t="inlineStr">
        <is>
          <t>SLICER ESCENARIO</t>
        </is>
      </c>
      <c r="G7" s="40" t="n"/>
      <c r="H7" s="63" t="inlineStr">
        <is>
          <t>SLICER SEMANA</t>
        </is>
      </c>
    </row>
    <row r="8">
      <c r="A8" s="52" t="inlineStr">
        <is>
          <t>Base</t>
        </is>
      </c>
      <c r="B8" s="19" t="inlineStr">
        <is>
          <t>Conservador</t>
        </is>
      </c>
      <c r="C8" s="53" t="inlineStr">
        <is>
          <t>Optimista</t>
        </is>
      </c>
      <c r="D8" s="19" t="inlineStr">
        <is>
          <t>Crisis B2B</t>
        </is>
      </c>
      <c r="E8" s="53" t="inlineStr">
        <is>
          <t>Eficiencia Green</t>
        </is>
      </c>
      <c r="F8" s="11" t="n"/>
      <c r="G8" s="12" t="n"/>
      <c r="H8" s="19" t="inlineStr">
        <is>
          <t>Todos</t>
        </is>
      </c>
      <c r="I8" s="53" t="n">
        <v>1</v>
      </c>
      <c r="J8" s="19" t="n">
        <v>2</v>
      </c>
      <c r="K8" s="76" t="n">
        <v>3</v>
      </c>
      <c r="L8" s="19" t="n">
        <v>4</v>
      </c>
      <c r="M8" s="19" t="n">
        <v>5</v>
      </c>
      <c r="N8" s="19" t="n">
        <v>6</v>
      </c>
    </row>
    <row r="9">
      <c r="A9" s="19">
        <f>IF($D$5=A8,"● seleccionado","○")</f>
        <v/>
      </c>
      <c r="B9" s="19">
        <f>IF($D$5=B8,"● seleccionado","○")</f>
        <v/>
      </c>
      <c r="C9" s="19">
        <f>IF($D$5=C8,"● seleccionado","○")</f>
        <v/>
      </c>
      <c r="D9" s="19">
        <f>IF($D$5=D8,"● seleccionado","○")</f>
        <v/>
      </c>
      <c r="E9" s="19">
        <f>IF($D$5=E8,"● seleccionado","○")</f>
        <v/>
      </c>
      <c r="F9" s="11" t="n"/>
      <c r="G9" s="10" t="n"/>
      <c r="H9" s="19">
        <f>IF($B$5=H8,"●","○")</f>
        <v/>
      </c>
      <c r="I9" s="19">
        <f>IF($B$5=I8,"●","○")</f>
        <v/>
      </c>
      <c r="J9" s="19">
        <f>IF($B$5=J8,"●","○")</f>
        <v/>
      </c>
      <c r="K9" s="19">
        <f>IF($B$5=K8,"●","○")</f>
        <v/>
      </c>
      <c r="L9" s="19">
        <f>IF($B$5=L8,"●","○")</f>
        <v/>
      </c>
      <c r="M9" s="19">
        <f>IF($B$5=M8,"●","○")</f>
        <v/>
      </c>
      <c r="N9" s="19">
        <f>IF($B$5=N8,"●","○")</f>
        <v/>
      </c>
    </row>
    <row r="10">
      <c r="A10" s="41" t="n"/>
      <c r="B10" s="41" t="n"/>
      <c r="C10" s="41" t="n"/>
      <c r="D10" s="41" t="n"/>
      <c r="E10" s="41" t="n"/>
      <c r="F10" s="14" t="n"/>
      <c r="G10" s="41" t="n"/>
      <c r="H10" s="19" t="n">
        <v>7</v>
      </c>
      <c r="I10" s="19" t="n">
        <v>8</v>
      </c>
      <c r="J10" s="19" t="n">
        <v>9</v>
      </c>
      <c r="K10" s="19" t="n"/>
      <c r="L10" s="19" t="n"/>
      <c r="M10" s="19" t="n"/>
      <c r="N10" s="19" t="n"/>
    </row>
    <row r="11">
      <c r="A11" s="42" t="n"/>
      <c r="B11" s="42" t="n"/>
      <c r="C11" s="42" t="n"/>
      <c r="D11" s="42" t="n"/>
      <c r="E11" s="42" t="n"/>
      <c r="F11" s="10" t="n"/>
      <c r="G11" s="41" t="n"/>
      <c r="H11" s="19">
        <f>IF($B$5=H10,"●","○")</f>
        <v/>
      </c>
      <c r="I11" s="19">
        <f>IF($B$5=I10,"●","○")</f>
        <v/>
      </c>
      <c r="J11" s="19">
        <f>IF($B$5=J10,"●","○")</f>
        <v/>
      </c>
      <c r="K11" s="19" t="n"/>
      <c r="L11" s="19" t="n"/>
      <c r="M11" s="19" t="n"/>
      <c r="N11" s="19" t="n"/>
    </row>
    <row r="12">
      <c r="A12" s="11" t="n"/>
      <c r="B12" s="14" t="n"/>
      <c r="C12" s="14" t="n"/>
      <c r="D12" s="14" t="n"/>
      <c r="E12" s="14" t="n"/>
      <c r="F12" s="14" t="n"/>
      <c r="G12" s="41" t="n"/>
      <c r="H12" s="41" t="n"/>
      <c r="I12" s="41" t="n"/>
      <c r="J12" s="14" t="n"/>
      <c r="K12" s="14" t="n"/>
      <c r="L12" s="14" t="n"/>
      <c r="M12" s="14" t="n"/>
      <c r="N12" s="14" t="n"/>
    </row>
    <row r="13" ht="27.6" customHeight="1" s="72">
      <c r="A13" s="20" t="inlineStr">
        <is>
          <t>Asientos vendidos</t>
        </is>
      </c>
      <c r="B13" s="20" t="n"/>
      <c r="C13" s="20" t="inlineStr">
        <is>
          <t>Ingreso premium</t>
        </is>
      </c>
      <c r="D13" s="20" t="n"/>
      <c r="E13" s="20" t="inlineStr">
        <is>
          <t>Sobrecosto SAF</t>
        </is>
      </c>
      <c r="F13" s="20" t="n"/>
      <c r="G13" s="20" t="inlineStr">
        <is>
          <t>Cobertura SAF</t>
        </is>
      </c>
      <c r="H13" s="20" t="n"/>
      <c r="I13" s="20" t="inlineStr">
        <is>
          <t>Margen neto</t>
        </is>
      </c>
      <c r="J13" s="20" t="n"/>
      <c r="K13" s="20" t="inlineStr">
        <is>
          <t>APU promedio</t>
        </is>
      </c>
      <c r="L13" s="20" t="n"/>
      <c r="M13" s="20" t="inlineStr">
        <is>
          <t>Adopción Green</t>
        </is>
      </c>
      <c r="N13" s="20" t="n"/>
    </row>
    <row r="14" ht="18" customHeight="1" s="72">
      <c r="A14" s="84">
        <f>IF($B$5="Todos",SUM(Data_Dinamica!$G$2:$G$61),SUMIF(Data_Dinamica!$B$2:$B$61,$B$5,Data_Dinamica!$G$2:$G$61))</f>
        <v/>
      </c>
      <c r="B14" s="84" t="n"/>
      <c r="C14" s="85">
        <f>IF($B$5="Todos",SUM(Data_Dinamica!$I$2:$I$61),SUMIF(Data_Dinamica!$B$2:$B$61,$B$5,Data_Dinamica!$I$2:$I$61))</f>
        <v/>
      </c>
      <c r="D14" s="85" t="n"/>
      <c r="E14" s="86">
        <f>IF($B$5="Todos",SUM(Data_Dinamica!$L$2:$L$61),SUMIF(Data_Dinamica!$B$2:$B$61,$B$5,Data_Dinamica!$L$2:$L$61))</f>
        <v/>
      </c>
      <c r="F14" s="86" t="n"/>
      <c r="G14" s="87">
        <f>IFERROR(C14/E14,0)</f>
        <v/>
      </c>
      <c r="H14" s="87" t="n"/>
      <c r="I14" s="88">
        <f>C14-E14</f>
        <v/>
      </c>
      <c r="J14" s="88" t="n"/>
      <c r="K14" s="89">
        <f>IF($B$5="Todos",AVERAGE(Data_Dinamica!$N$2:$N$61),AVERAGEIF(Data_Dinamica!$B$2:$B$61,$B$5,Data_Dinamica!$N$2:$N$61))</f>
        <v/>
      </c>
      <c r="L14" s="89" t="n"/>
      <c r="M14" s="90">
        <f>COUNTIF(Data_Dinamica!$O$2:$O$61,"Verde")/COUNTA(Data_Dinamica!$O$2:$O$61)</f>
        <v/>
      </c>
      <c r="N14" s="90" t="n"/>
    </row>
    <row r="15" ht="27.6" customHeight="1" s="72">
      <c r="A15" s="10">
        <f>IF(A14&lt;Inputs!$I$8*IF($B$5="Todos",60,7)*0.85,"🔴 Rojo",IF(A14&lt;Inputs!$I$8*IF($B$5="Todos",60,7),"🟡 Amarillo","🟢 Verde"))</f>
        <v/>
      </c>
      <c r="B15" s="10" t="n"/>
      <c r="C15" s="10">
        <f>IF(C14&gt;=E14,"🟢 Cubre SAF","🔴 No cubre")</f>
        <v/>
      </c>
      <c r="D15" s="10" t="n"/>
      <c r="E15" s="10">
        <f>IF(E14&lt;=C14,"🟢 Cubierto","🔴 Expuesto")</f>
        <v/>
      </c>
      <c r="F15" s="10" t="n"/>
      <c r="G15" s="10">
        <f>TEXT(G14,"0%")&amp;" cobertura"</f>
        <v/>
      </c>
      <c r="H15" s="10" t="n"/>
      <c r="I15" s="10">
        <f>IF(I14&gt;=0,"🟢 Margen positivo","🔴 Margen negativo")</f>
        <v/>
      </c>
      <c r="J15" s="10" t="n"/>
      <c r="K15" s="10">
        <f>IF(K14&lt;=Inputs!$I$7,"🟢 Óptimo",IF(K14&lt;=Inputs!$I$7+2,"🟡 Revisar APU","🔴 Crítico"))</f>
        <v/>
      </c>
      <c r="L15" s="10" t="n"/>
      <c r="M15" s="10">
        <f>IF(M14&gt;=0.55,"🟢 Cultura en adopción","🟡 Reforzar protocolo")</f>
        <v/>
      </c>
      <c r="N15" s="10" t="n"/>
    </row>
    <row r="16">
      <c r="A16" s="45" t="n"/>
      <c r="B16" s="45" t="n"/>
      <c r="C16" s="49" t="n"/>
      <c r="D16" s="49" t="n"/>
      <c r="E16" s="49" t="n"/>
      <c r="F16" s="45" t="n"/>
      <c r="G16" s="79" t="n"/>
      <c r="H16" s="79" t="n"/>
      <c r="I16" s="49" t="n"/>
      <c r="J16" s="79" t="n"/>
      <c r="K16" s="80" t="n"/>
      <c r="L16" s="79" t="n"/>
      <c r="M16" s="79" t="n"/>
      <c r="N16" s="45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64" t="inlineStr">
        <is>
          <t>Gauge chart manual: eficiencia APU (Lead Measure)</t>
        </is>
      </c>
      <c r="G18" s="13" t="n"/>
      <c r="H18" s="64" t="inlineStr">
        <is>
          <t>Resolución ágil en vivo: crisis semáforo rojo B2B</t>
        </is>
      </c>
    </row>
    <row r="19">
      <c r="A19" s="25" t="inlineStr">
        <is>
          <t>Rojo</t>
        </is>
      </c>
      <c r="B19" s="25" t="inlineStr">
        <is>
          <t>&gt;11 min</t>
        </is>
      </c>
      <c r="C19" s="26" t="inlineStr">
        <is>
          <t>Amarillo</t>
        </is>
      </c>
      <c r="D19" s="26" t="inlineStr">
        <is>
          <t>9 a 11 min</t>
        </is>
      </c>
      <c r="E19" s="27" t="inlineStr">
        <is>
          <t>Verde</t>
        </is>
      </c>
      <c r="F19" s="27" t="inlineStr">
        <is>
          <t>≤9 min</t>
        </is>
      </c>
      <c r="G19" s="14" t="n"/>
      <c r="H19" s="66" t="inlineStr">
        <is>
          <t>Si semana 3 queda en rojo: en 48 horas el Squad comercial contacta top 10 cuentas corporativas, ofrece upgrade Eco-Corporate de prueba, activa certificado Scope 3 express, reasigna cupos desde business estándar y revisa pricing táctico para cerrar compromisos antes del siguiente ciclo de vuelos.</t>
        </is>
      </c>
    </row>
    <row r="20" ht="23.4" customHeight="1" s="72">
      <c r="A20" s="55" t="inlineStr">
        <is>
          <t>▇</t>
        </is>
      </c>
      <c r="B20" s="55" t="inlineStr">
        <is>
          <t>▇</t>
        </is>
      </c>
      <c r="C20" s="56" t="inlineStr">
        <is>
          <t>▇</t>
        </is>
      </c>
      <c r="D20" s="56" t="inlineStr">
        <is>
          <t>▇</t>
        </is>
      </c>
      <c r="E20" s="57" t="inlineStr">
        <is>
          <t>▇</t>
        </is>
      </c>
      <c r="F20" s="57" t="inlineStr">
        <is>
          <t>▇</t>
        </is>
      </c>
      <c r="G20" s="14" t="n"/>
    </row>
    <row r="21" ht="28.8" customHeight="1" s="72">
      <c r="A21" s="28">
        <f>IF($K$14&gt;12,"▲","")</f>
        <v/>
      </c>
      <c r="B21" s="28">
        <f>IF(AND($K$14&gt;11,$K$14&lt;=12),"▲","")</f>
        <v/>
      </c>
      <c r="C21" s="28">
        <f>IF(AND($K$14&gt;10,$K$14&lt;=11),"▲","")</f>
        <v/>
      </c>
      <c r="D21" s="28">
        <f>IF(AND($K$14&gt;9,$K$14&lt;=10),"▲","")</f>
        <v/>
      </c>
      <c r="E21" s="28">
        <f>IF(AND($K$14&gt;8,$K$14&lt;=9),"▲","")</f>
        <v/>
      </c>
      <c r="F21" s="28">
        <f>IF($K$14&lt;=8,"▲","")</f>
        <v/>
      </c>
      <c r="G21" s="14" t="n"/>
    </row>
    <row r="22">
      <c r="A22" s="65">
        <f>"APU promedio seleccionado: "&amp;TEXT($K$14,"0.0")&amp;" min | Meta ≤ "&amp;Inputs!$I$7&amp;" min"</f>
        <v/>
      </c>
      <c r="G22" s="14" t="n"/>
    </row>
    <row r="23">
      <c r="A23" s="45" t="n"/>
      <c r="B23" s="45" t="n"/>
      <c r="C23" s="45" t="n"/>
      <c r="D23" s="45" t="n"/>
      <c r="E23" s="45" t="n"/>
      <c r="F23" s="45" t="n"/>
      <c r="G23" s="10" t="n"/>
      <c r="H23" s="44" t="n"/>
      <c r="I23" s="44" t="n"/>
      <c r="J23" s="44" t="n"/>
      <c r="K23" s="44" t="n"/>
      <c r="L23" s="44" t="n"/>
      <c r="M23" s="43" t="n"/>
      <c r="N23" s="43" t="n"/>
    </row>
    <row r="24">
      <c r="A24" s="45" t="n"/>
      <c r="B24" s="45" t="n"/>
      <c r="C24" s="45" t="n"/>
      <c r="D24" s="45" t="n"/>
      <c r="E24" s="45" t="n"/>
      <c r="F24" s="45" t="n"/>
      <c r="G24" s="10" t="n"/>
      <c r="H24" s="44" t="n"/>
      <c r="I24" s="44" t="n"/>
      <c r="J24" s="44" t="n"/>
      <c r="K24" s="44" t="n"/>
      <c r="L24" s="44" t="n"/>
      <c r="M24" s="43" t="n"/>
      <c r="N24" s="43" t="n"/>
    </row>
    <row r="25">
      <c r="A25" s="64" t="inlineStr">
        <is>
          <t>Resultado semanal dinámico</t>
        </is>
      </c>
      <c r="G25" s="14" t="n"/>
      <c r="H25" s="64" t="inlineStr">
        <is>
          <t>Comparador de escenarios</t>
        </is>
      </c>
      <c r="N25" s="14" t="n"/>
    </row>
    <row r="26">
      <c r="A26" s="30" t="inlineStr">
        <is>
          <t>Semana</t>
        </is>
      </c>
      <c r="B26" s="30" t="inlineStr">
        <is>
          <t>Asientos</t>
        </is>
      </c>
      <c r="C26" s="31" t="inlineStr">
        <is>
          <t>Ingreso</t>
        </is>
      </c>
      <c r="D26" s="31" t="inlineStr">
        <is>
          <t>Sobrecosto</t>
        </is>
      </c>
      <c r="E26" s="32" t="inlineStr">
        <is>
          <t>Cobertura</t>
        </is>
      </c>
      <c r="F26" s="31" t="inlineStr">
        <is>
          <t>Margen</t>
        </is>
      </c>
      <c r="G26" s="14" t="n"/>
      <c r="H26" s="30" t="inlineStr">
        <is>
          <t>Escenario</t>
        </is>
      </c>
      <c r="I26" s="31" t="inlineStr">
        <is>
          <t>Asientos</t>
        </is>
      </c>
      <c r="J26" s="31" t="inlineStr">
        <is>
          <t>Ingreso</t>
        </is>
      </c>
      <c r="K26" s="32" t="inlineStr">
        <is>
          <t>Sobrecosto</t>
        </is>
      </c>
      <c r="L26" s="31" t="inlineStr">
        <is>
          <t>Cobertura</t>
        </is>
      </c>
      <c r="M26" s="30" t="inlineStr">
        <is>
          <t>Margen</t>
        </is>
      </c>
      <c r="N26" s="14" t="n"/>
    </row>
    <row r="27">
      <c r="A27" s="65" t="n">
        <v>1</v>
      </c>
      <c r="B27" s="65">
        <f>SUMIF(Data_Dinamica!$B$2:$B$61,A27,Data_Dinamica!$G$2:$G$61)</f>
        <v/>
      </c>
      <c r="C27" s="58">
        <f>SUMIF(Data_Dinamica!$B$2:$B$61,A27,Data_Dinamica!$I$2:$I$61)</f>
        <v/>
      </c>
      <c r="D27" s="58">
        <f>SUMIF(Data_Dinamica!$B$2:$B$61,A27,Data_Dinamica!$L$2:$L$61)</f>
        <v/>
      </c>
      <c r="E27" s="81">
        <f>IFERROR(C27/D27,0)</f>
        <v/>
      </c>
      <c r="F27" s="58">
        <f>C27-D27</f>
        <v/>
      </c>
      <c r="G27" s="14" t="n"/>
      <c r="H27" s="65" t="inlineStr">
        <is>
          <t>Base</t>
        </is>
      </c>
      <c r="I27" s="58">
        <f>Calculos!J2</f>
        <v/>
      </c>
      <c r="J27" s="58">
        <f>Calculos!K2</f>
        <v/>
      </c>
      <c r="K27" s="58">
        <f>Calculos!L2</f>
        <v/>
      </c>
      <c r="L27" s="81">
        <f>Calculos!M2</f>
        <v/>
      </c>
      <c r="M27" s="58">
        <f>Calculos!N2</f>
        <v/>
      </c>
      <c r="N27" s="10" t="n"/>
    </row>
    <row r="28">
      <c r="A28" s="65" t="n">
        <v>2</v>
      </c>
      <c r="B28" s="65">
        <f>SUMIF(Data_Dinamica!$B$2:$B$61,A28,Data_Dinamica!$G$2:$G$61)</f>
        <v/>
      </c>
      <c r="C28" s="58">
        <f>SUMIF(Data_Dinamica!$B$2:$B$61,A28,Data_Dinamica!$I$2:$I$61)</f>
        <v/>
      </c>
      <c r="D28" s="58">
        <f>SUMIF(Data_Dinamica!$B$2:$B$61,A28,Data_Dinamica!$L$2:$L$61)</f>
        <v/>
      </c>
      <c r="E28" s="81">
        <f>IFERROR(C28/D28,0)</f>
        <v/>
      </c>
      <c r="F28" s="58">
        <f>C28-D28</f>
        <v/>
      </c>
      <c r="G28" s="14" t="n"/>
      <c r="H28" s="65" t="inlineStr">
        <is>
          <t>Conservador</t>
        </is>
      </c>
      <c r="I28" s="58">
        <f>Calculos!J3</f>
        <v/>
      </c>
      <c r="J28" s="58">
        <f>Calculos!K3</f>
        <v/>
      </c>
      <c r="K28" s="58">
        <f>Calculos!L3</f>
        <v/>
      </c>
      <c r="L28" s="81">
        <f>Calculos!M3</f>
        <v/>
      </c>
      <c r="M28" s="58">
        <f>Calculos!N3</f>
        <v/>
      </c>
      <c r="N28" s="14" t="n"/>
    </row>
    <row r="29">
      <c r="A29" s="33" t="n">
        <v>3</v>
      </c>
      <c r="B29" s="33">
        <f>SUMIF(Data_Dinamica!$B$2:$B$61,A29,Data_Dinamica!$G$2:$G$61)</f>
        <v/>
      </c>
      <c r="C29" s="34">
        <f>SUMIF(Data_Dinamica!$B$2:$B$61,A29,Data_Dinamica!$I$2:$I$61)</f>
        <v/>
      </c>
      <c r="D29" s="34">
        <f>SUMIF(Data_Dinamica!$B$2:$B$61,A29,Data_Dinamica!$L$2:$L$61)</f>
        <v/>
      </c>
      <c r="E29" s="82">
        <f>IFERROR(C29/D29,0)</f>
        <v/>
      </c>
      <c r="F29" s="34">
        <f>C29-D29</f>
        <v/>
      </c>
      <c r="G29" s="14" t="n"/>
      <c r="H29" s="33" t="inlineStr">
        <is>
          <t>Optimista</t>
        </is>
      </c>
      <c r="I29" s="34">
        <f>Calculos!J4</f>
        <v/>
      </c>
      <c r="J29" s="34">
        <f>Calculos!K4</f>
        <v/>
      </c>
      <c r="K29" s="34">
        <f>Calculos!L4</f>
        <v/>
      </c>
      <c r="L29" s="82">
        <f>Calculos!M4</f>
        <v/>
      </c>
      <c r="M29" s="34">
        <f>Calculos!N4</f>
        <v/>
      </c>
      <c r="N29" s="14" t="n"/>
    </row>
    <row r="30">
      <c r="A30" s="33" t="n">
        <v>4</v>
      </c>
      <c r="B30" s="33">
        <f>SUMIF(Data_Dinamica!$B$2:$B$61,A30,Data_Dinamica!$G$2:$G$61)</f>
        <v/>
      </c>
      <c r="C30" s="34">
        <f>SUMIF(Data_Dinamica!$B$2:$B$61,A30,Data_Dinamica!$I$2:$I$61)</f>
        <v/>
      </c>
      <c r="D30" s="34">
        <f>SUMIF(Data_Dinamica!$B$2:$B$61,A30,Data_Dinamica!$L$2:$L$61)</f>
        <v/>
      </c>
      <c r="E30" s="82">
        <f>IFERROR(C30/D30,0)</f>
        <v/>
      </c>
      <c r="F30" s="34">
        <f>C30-D30</f>
        <v/>
      </c>
      <c r="G30" s="14" t="n"/>
      <c r="H30" s="33" t="inlineStr">
        <is>
          <t>Crisis B2B</t>
        </is>
      </c>
      <c r="I30" s="33">
        <f>Calculos!J5</f>
        <v/>
      </c>
      <c r="J30" s="34">
        <f>Calculos!K5</f>
        <v/>
      </c>
      <c r="K30" s="34">
        <f>Calculos!L5</f>
        <v/>
      </c>
      <c r="L30" s="82">
        <f>Calculos!M5</f>
        <v/>
      </c>
      <c r="M30" s="34">
        <f>Calculos!N5</f>
        <v/>
      </c>
      <c r="N30" s="14" t="n"/>
    </row>
    <row r="31">
      <c r="A31" s="33" t="n">
        <v>5</v>
      </c>
      <c r="B31" s="33">
        <f>SUMIF(Data_Dinamica!$B$2:$B$61,A31,Data_Dinamica!$G$2:$G$61)</f>
        <v/>
      </c>
      <c r="C31" s="34">
        <f>SUMIF(Data_Dinamica!$B$2:$B$61,A31,Data_Dinamica!$I$2:$I$61)</f>
        <v/>
      </c>
      <c r="D31" s="34">
        <f>SUMIF(Data_Dinamica!$B$2:$B$61,A31,Data_Dinamica!$L$2:$L$61)</f>
        <v/>
      </c>
      <c r="E31" s="82">
        <f>IFERROR(C31/D31,0)</f>
        <v/>
      </c>
      <c r="F31" s="34">
        <f>C31-D31</f>
        <v/>
      </c>
      <c r="G31" s="14" t="n"/>
      <c r="H31" s="33" t="inlineStr">
        <is>
          <t>Eficiencia Green</t>
        </is>
      </c>
      <c r="I31" s="33">
        <f>Calculos!J6</f>
        <v/>
      </c>
      <c r="J31" s="34">
        <f>Calculos!K6</f>
        <v/>
      </c>
      <c r="K31" s="34">
        <f>Calculos!L6</f>
        <v/>
      </c>
      <c r="L31" s="82">
        <f>Calculos!M6</f>
        <v/>
      </c>
      <c r="M31" s="34">
        <f>Calculos!N6</f>
        <v/>
      </c>
      <c r="N31" s="14" t="n"/>
    </row>
    <row r="32">
      <c r="A32" s="33" t="n">
        <v>6</v>
      </c>
      <c r="B32" s="33">
        <f>SUMIF(Data_Dinamica!$B$2:$B$61,A32,Data_Dinamica!$G$2:$G$61)</f>
        <v/>
      </c>
      <c r="C32" s="34">
        <f>SUMIF(Data_Dinamica!$B$2:$B$61,A32,Data_Dinamica!$I$2:$I$61)</f>
        <v/>
      </c>
      <c r="D32" s="34">
        <f>SUMIF(Data_Dinamica!$B$2:$B$61,A32,Data_Dinamica!$L$2:$L$61)</f>
        <v/>
      </c>
      <c r="E32" s="82">
        <f>IFERROR(C32/D32,0)</f>
        <v/>
      </c>
      <c r="F32" s="34">
        <f>C32-D32</f>
        <v/>
      </c>
      <c r="G32" s="14" t="n"/>
      <c r="H32" s="46" t="n"/>
      <c r="I32" s="46" t="n"/>
      <c r="J32" s="47" t="n"/>
      <c r="K32" s="47" t="n"/>
      <c r="L32" s="83" t="n"/>
      <c r="M32" s="47" t="n"/>
      <c r="N32" s="14" t="n"/>
    </row>
    <row r="33">
      <c r="A33" s="33" t="n">
        <v>7</v>
      </c>
      <c r="B33" s="33">
        <f>SUMIF(Data_Dinamica!$B$2:$B$61,A33,Data_Dinamica!$G$2:$G$61)</f>
        <v/>
      </c>
      <c r="C33" s="34">
        <f>SUMIF(Data_Dinamica!$B$2:$B$61,A33,Data_Dinamica!$I$2:$I$61)</f>
        <v/>
      </c>
      <c r="D33" s="34">
        <f>SUMIF(Data_Dinamica!$B$2:$B$61,A33,Data_Dinamica!$L$2:$L$61)</f>
        <v/>
      </c>
      <c r="E33" s="82">
        <f>IFERROR(C33/D33,0)</f>
        <v/>
      </c>
      <c r="F33" s="34">
        <f>C33-D33</f>
        <v/>
      </c>
      <c r="G33" s="14" t="n"/>
      <c r="H33" s="46" t="n"/>
      <c r="I33" s="46" t="n"/>
      <c r="J33" s="47" t="n"/>
      <c r="K33" s="47" t="n"/>
      <c r="L33" s="83" t="n"/>
      <c r="M33" s="47" t="n"/>
      <c r="N33" s="14" t="n"/>
    </row>
    <row r="34">
      <c r="A34" s="33" t="n">
        <v>8</v>
      </c>
      <c r="B34" s="33">
        <f>SUMIF(Data_Dinamica!$B$2:$B$61,A34,Data_Dinamica!$G$2:$G$61)</f>
        <v/>
      </c>
      <c r="C34" s="34">
        <f>SUMIF(Data_Dinamica!$B$2:$B$61,A34,Data_Dinamica!$I$2:$I$61)</f>
        <v/>
      </c>
      <c r="D34" s="34">
        <f>SUMIF(Data_Dinamica!$B$2:$B$61,A34,Data_Dinamica!$L$2:$L$61)</f>
        <v/>
      </c>
      <c r="E34" s="82">
        <f>IFERROR(C34/D34,0)</f>
        <v/>
      </c>
      <c r="F34" s="34">
        <f>C34-D34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33" t="n">
        <v>9</v>
      </c>
      <c r="B35" s="33">
        <f>SUMIF(Data_Dinamica!$B$2:$B$61,A35,Data_Dinamica!$G$2:$G$61)</f>
        <v/>
      </c>
      <c r="C35" s="34">
        <f>SUMIF(Data_Dinamica!$B$2:$B$61,A35,Data_Dinamica!$I$2:$I$61)</f>
        <v/>
      </c>
      <c r="D35" s="34">
        <f>SUMIF(Data_Dinamica!$B$2:$B$61,A35,Data_Dinamica!$L$2:$L$61)</f>
        <v/>
      </c>
      <c r="E35" s="82">
        <f>IFERROR(C35/D35,0)</f>
        <v/>
      </c>
      <c r="F35" s="34">
        <f>C35-D35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46" t="n"/>
      <c r="B36" s="46" t="n"/>
      <c r="C36" s="47" t="n"/>
      <c r="D36" s="47" t="n"/>
      <c r="E36" s="83" t="n"/>
      <c r="F36" s="47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46" t="n"/>
      <c r="B37" s="46" t="n"/>
      <c r="C37" s="47" t="n"/>
      <c r="D37" s="47" t="n"/>
      <c r="E37" s="83" t="n"/>
      <c r="F37" s="47" t="n"/>
      <c r="G37" s="14" t="n"/>
      <c r="H37" s="14" t="n"/>
      <c r="I37" s="14" t="n"/>
      <c r="J37" s="14" t="n"/>
      <c r="K37" s="14" t="n"/>
      <c r="L37" s="14" t="n"/>
      <c r="M37" s="14" t="n"/>
      <c r="N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</row>
  </sheetData>
  <mergeCells count="10">
    <mergeCell ref="A2:N3"/>
    <mergeCell ref="A22:F22"/>
    <mergeCell ref="H7:N7"/>
    <mergeCell ref="A18:F18"/>
    <mergeCell ref="A25:F25"/>
    <mergeCell ref="H25:M25"/>
    <mergeCell ref="H19:N22"/>
    <mergeCell ref="A7:F7"/>
    <mergeCell ref="H18:N18"/>
    <mergeCell ref="A1:N1"/>
  </mergeCells>
  <conditionalFormatting sqref="A9:L9">
    <cfRule type="expression" priority="1" dxfId="18">
      <formula>ISNUMBER(SEARCH("🟢",A9))</formula>
    </cfRule>
    <cfRule type="expression" priority="2" dxfId="17">
      <formula>ISNUMBER(SEARCH("🟡",A9))</formula>
    </cfRule>
    <cfRule type="expression" priority="3" dxfId="16">
      <formula>ISNUMBER(SEARCH("🔴",A9))</formula>
    </cfRule>
  </conditionalFormatting>
  <conditionalFormatting sqref="E25:E33">
    <cfRule type="cellIs" priority="4" operator="lessThan" dxfId="1">
      <formula>1</formula>
    </cfRule>
    <cfRule type="cellIs" priority="5" operator="greaterThanOrEqual" dxfId="0">
      <formula>1</formula>
    </cfRule>
  </conditionalFormatting>
  <conditionalFormatting sqref="F27:F37">
    <cfRule type="cellIs" priority="13" operator="lessThan" dxfId="4">
      <formula>0</formula>
    </cfRule>
    <cfRule type="cellIs" priority="14" operator="greaterThanOrEqual" dxfId="2">
      <formula>0</formula>
    </cfRule>
  </conditionalFormatting>
  <conditionalFormatting sqref="G14">
    <cfRule type="cellIs" priority="16" operator="lessThan" dxfId="4">
      <formula>1</formula>
    </cfRule>
  </conditionalFormatting>
  <conditionalFormatting sqref="G16">
    <cfRule type="cellIs" priority="8" operator="lessThan" dxfId="4">
      <formula>1</formula>
    </cfRule>
  </conditionalFormatting>
  <conditionalFormatting sqref="I14">
    <cfRule type="cellIs" priority="17" operator="lessThan" dxfId="4">
      <formula>0</formula>
    </cfRule>
  </conditionalFormatting>
  <conditionalFormatting sqref="I16">
    <cfRule type="cellIs" priority="9" operator="lessThan" dxfId="4">
      <formula>0</formula>
    </cfRule>
  </conditionalFormatting>
  <conditionalFormatting sqref="K14">
    <cfRule type="cellIs" priority="18" operator="greaterThan" dxfId="4">
      <formula>11</formula>
    </cfRule>
    <cfRule type="cellIs" priority="19" operator="between" dxfId="3">
      <formula>9</formula>
    </cfRule>
    <cfRule type="cellIs" priority="20" operator="lessThanOrEqual" dxfId="2">
      <formula>9</formula>
    </cfRule>
  </conditionalFormatting>
  <conditionalFormatting sqref="K16">
    <cfRule type="cellIs" priority="10" operator="greaterThan" dxfId="4">
      <formula>11</formula>
    </cfRule>
    <cfRule type="cellIs" priority="11" operator="between" dxfId="3">
      <formula>9</formula>
    </cfRule>
    <cfRule type="cellIs" priority="12" operator="lessThanOrEqual" dxfId="2">
      <formula>9</formula>
    </cfRule>
  </conditionalFormatting>
  <conditionalFormatting sqref="K25:K29">
    <cfRule type="cellIs" priority="6" operator="lessThan" dxfId="1">
      <formula>1</formula>
    </cfRule>
    <cfRule type="cellIs" priority="7" operator="greaterThanOrEqual" dxfId="0">
      <formula>1</formula>
    </cfRule>
  </conditionalFormatting>
  <conditionalFormatting sqref="L27:L31">
    <cfRule type="colorScale" priority="2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9:L33">
    <cfRule type="colorScale" priority="1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sqref="B5" showDropDown="0" showInputMessage="0" showErrorMessage="0" allowBlank="0" type="list">
      <formula1>"Todos,1,2,3,4,5,6,7,8,9"</formula1>
    </dataValidation>
    <dataValidation sqref="B5" showDropDown="0" showInputMessage="0" showErrorMessage="0" allowBlank="0" type="list">
      <formula1>"Todos,1,2,3,4,5,6,7,8,9"</formula1>
    </dataValidation>
    <dataValidation sqref="D5" showDropDown="0" showInputMessage="0" showErrorMessage="0" allowBlank="0" type="list">
      <formula1>"Base,Conservador,Optimista,Crisis B2B,Eficiencia Green"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:F1"/>
    </sheetView>
  </sheetViews>
  <sheetFormatPr baseColWidth="10" defaultColWidth="8.796875" defaultRowHeight="13.8"/>
  <cols>
    <col width="44.5" customWidth="1" style="72" min="1" max="1"/>
    <col width="87.8984375" customWidth="1" style="72" min="2" max="2"/>
  </cols>
  <sheetData>
    <row r="1" ht="17.4" customHeight="1" s="72">
      <c r="A1" s="70" t="inlineStr">
        <is>
          <t>Cómo usar el dashboard interactivo LATAM</t>
        </is>
      </c>
    </row>
    <row r="2">
      <c r="A2" s="39" t="inlineStr">
        <is>
          <t>1</t>
        </is>
      </c>
      <c r="B2" s="2" t="inlineStr">
        <is>
          <t>Abrir hoja Dashboard y usar los controles azules: Semana y Escenario.</t>
        </is>
      </c>
    </row>
    <row r="3">
      <c r="A3" s="39" t="inlineStr">
        <is>
          <t>2</t>
        </is>
      </c>
      <c r="B3" s="2" t="inlineStr">
        <is>
          <t>El panel tiene segmentadores visuales tipo slicer; los botones muestran qué filtro está activo.</t>
        </is>
      </c>
    </row>
    <row r="4">
      <c r="A4" s="39" t="inlineStr">
        <is>
          <t>3</t>
        </is>
      </c>
      <c r="B4" s="2" t="inlineStr">
        <is>
          <t>El gauge manual evalúa APU promedio: rojo &gt;11 min, amarillo 9-11 min, verde ≤9 min.</t>
        </is>
      </c>
    </row>
    <row r="5">
      <c r="A5" s="39" t="inlineStr">
        <is>
          <t>4</t>
        </is>
      </c>
      <c r="B5" s="2" t="inlineStr">
        <is>
          <t>Los KPIs se recalculan con el escenario elegido y muestran semáforo automático.</t>
        </is>
      </c>
    </row>
    <row r="6">
      <c r="A6" s="39" t="inlineStr">
        <is>
          <t>5</t>
        </is>
      </c>
      <c r="B6" s="2" t="inlineStr">
        <is>
          <t>La hoja Data_Dinamica contiene 60 filas de vuelos simulados para la ruta Santiago - Miami.</t>
        </is>
      </c>
    </row>
    <row r="7">
      <c r="A7" s="39" t="inlineStr">
        <is>
          <t>6</t>
        </is>
      </c>
      <c r="B7" s="2" t="inlineStr">
        <is>
          <t>La hoja Calculos resume semanas y escenarios para sostener el pitch y el comparador.</t>
        </is>
      </c>
    </row>
    <row r="8">
      <c r="A8" s="39" t="inlineStr">
        <is>
          <t>7</t>
        </is>
      </c>
      <c r="B8" s="2" t="inlineStr">
        <is>
          <t>Para la crisis de semana 3: usar el bloque de acción ágil de 48 horas del Dashboard.</t>
        </is>
      </c>
    </row>
    <row r="9">
      <c r="A9" s="39" t="inlineStr">
        <is>
          <t>8</t>
        </is>
      </c>
      <c r="B9" s="2" t="inlineStr">
        <is>
          <t>Para cambiar supuestos base, editar Inputs: precio premium, adopción B2B, eficiencia Green y factor SAF.</t>
        </is>
      </c>
    </row>
    <row r="10" ht="27.6" customHeight="1" s="72">
      <c r="A10" s="39" t="inlineStr">
        <is>
          <t>9</t>
        </is>
      </c>
      <c r="B10" s="2" t="inlineStr">
        <is>
          <t>Elementos exigidos por pauta: data cruda 60 filas, cálculos dinámicos, slicer visual, gauge manual y semáforos.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herrera</dc:creator>
  <dcterms:created xmlns:dcterms="http://purl.org/dc/terms/" xmlns:xsi="http://www.w3.org/2001/XMLSchema-instance" xsi:type="dcterms:W3CDTF">2026-06-09T03:05:12Z</dcterms:created>
  <dcterms:modified xmlns:dcterms="http://purl.org/dc/terms/" xmlns:xsi="http://www.w3.org/2001/XMLSchema-instance" xsi:type="dcterms:W3CDTF">2026-06-09T03:23:00Z</dcterms:modified>
  <cp:lastModifiedBy>Carlos Patricio Herrera Erazo</cp:lastModifiedBy>
</cp:coreProperties>
</file>